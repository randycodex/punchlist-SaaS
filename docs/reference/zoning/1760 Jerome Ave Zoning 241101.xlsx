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24226"/>
  <mc:AlternateContent xmlns:mc="http://schemas.openxmlformats.org/markup-compatibility/2006">
    <mc:Choice Requires="x15">
      <x15ac:absPath xmlns:x15ac="http://schemas.microsoft.com/office/spreadsheetml/2010/11/ac" url="S:\Projects\2022 Projects\22.14_1760 Jerome Ave., Bronx (ACMH)\01_Project Mgmt\10_Site Info- Zoning\"/>
    </mc:Choice>
  </mc:AlternateContent>
  <xr:revisionPtr revIDLastSave="0" documentId="13_ncr:1_{D52C0837-B625-4A27-AC6D-AA41E6E4E14F}" xr6:coauthVersionLast="47" xr6:coauthVersionMax="47" xr10:uidLastSave="{00000000-0000-0000-0000-000000000000}"/>
  <bookViews>
    <workbookView xWindow="-120" yWindow="-120" windowWidth="29040" windowHeight="15840" xr2:uid="{00000000-000D-0000-FFFF-FFFF00000000}"/>
  </bookViews>
  <sheets>
    <sheet name="R8A-UG2-Special District" sheetId="13" r:id="rId1"/>
    <sheet name="Area Tabulation (A) " sheetId="10" r:id="rId2"/>
    <sheet name="UNIT DISTRIBUTION" sheetId="11" r:id="rId3"/>
    <sheet name="UGIIIA NET AREAS" sheetId="16" r:id="rId4"/>
    <sheet name="MIH RECALIBRATION STUDIES 11-1" sheetId="15" r:id="rId5"/>
    <sheet name="Base Plane Calculation" sheetId="8" r:id="rId6"/>
  </sheets>
  <externalReferences>
    <externalReference r:id="rId7"/>
    <externalReference r:id="rId8"/>
  </externalReferences>
  <definedNames>
    <definedName name="_xlnm.Print_Area" localSheetId="1">'Area Tabulation (A) '!$A$1:$AB$25</definedName>
    <definedName name="_xlnm.Print_Area" localSheetId="5">'Base Plane Calculation'!$A$1:$I$23</definedName>
    <definedName name="_xlnm.Print_Area" localSheetId="0">'R8A-UG2-Special District'!$A$1:$E$123</definedName>
  </definedNames>
  <calcPr calcId="191028"/>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4" i="10" l="1"/>
  <c r="F12" i="10"/>
  <c r="Q27" i="11" l="1"/>
  <c r="E71" i="15" l="1"/>
  <c r="E72" i="15" s="1"/>
  <c r="S52" i="15" l="1"/>
  <c r="S51" i="15"/>
  <c r="S48" i="15"/>
  <c r="S47" i="15"/>
  <c r="S46" i="15"/>
  <c r="S42" i="15"/>
  <c r="S41" i="15"/>
  <c r="S37" i="15"/>
  <c r="S36" i="15"/>
  <c r="S34" i="15"/>
  <c r="S30" i="15"/>
  <c r="S26" i="15"/>
  <c r="S25" i="15"/>
  <c r="S22" i="15"/>
  <c r="S17" i="15"/>
  <c r="S16" i="15"/>
  <c r="S11" i="15"/>
  <c r="S7" i="15"/>
  <c r="S4" i="15"/>
  <c r="D61" i="15"/>
  <c r="S56" i="15" l="1"/>
  <c r="S58" i="15" l="1"/>
  <c r="E82" i="13" l="1"/>
  <c r="D20" i="10" l="1"/>
  <c r="D18" i="10"/>
  <c r="D10" i="10"/>
  <c r="D9" i="10"/>
  <c r="D8" i="10"/>
  <c r="F8" i="10"/>
  <c r="Q62" i="11" l="1"/>
  <c r="Q61" i="11"/>
  <c r="Q56" i="11"/>
  <c r="Q51" i="11"/>
  <c r="Q43" i="11"/>
  <c r="Q39" i="11"/>
  <c r="Q36" i="11"/>
  <c r="Q32" i="11"/>
  <c r="Q24" i="11"/>
  <c r="Q21" i="11"/>
  <c r="Q20" i="11"/>
  <c r="Q19" i="11"/>
  <c r="O65" i="11"/>
  <c r="O19" i="11"/>
  <c r="O20" i="11"/>
  <c r="O21" i="11"/>
  <c r="O23" i="11"/>
  <c r="O22" i="11"/>
  <c r="O27" i="11"/>
  <c r="O31" i="11"/>
  <c r="O35" i="11"/>
  <c r="O39" i="11"/>
  <c r="O43" i="11"/>
  <c r="O47" i="11"/>
  <c r="O51" i="11"/>
  <c r="O56" i="11"/>
  <c r="H67" i="11"/>
  <c r="Q65" i="11" l="1"/>
  <c r="D118" i="13"/>
  <c r="E118" i="13" s="1"/>
  <c r="C14" i="13"/>
  <c r="C15" i="13"/>
  <c r="E32" i="13"/>
  <c r="E33" i="13"/>
  <c r="C34" i="13"/>
  <c r="D34" i="13"/>
  <c r="E36" i="13"/>
  <c r="E47" i="13"/>
  <c r="C55" i="13"/>
  <c r="E55" i="13" s="1"/>
  <c r="E63" i="13"/>
  <c r="E70" i="13"/>
  <c r="E79" i="13"/>
  <c r="E80" i="13"/>
  <c r="E81" i="13"/>
  <c r="D86" i="13"/>
  <c r="E86" i="13"/>
  <c r="E104" i="13"/>
  <c r="D107" i="13"/>
  <c r="D126" i="13"/>
  <c r="D127" i="13"/>
  <c r="D128" i="13"/>
  <c r="D129" i="13"/>
  <c r="D130" i="13"/>
  <c r="D131" i="13"/>
  <c r="C132" i="13"/>
  <c r="D132" i="13" l="1"/>
  <c r="E34" i="13"/>
  <c r="H26" i="10"/>
  <c r="L25" i="10"/>
  <c r="D25" i="10"/>
  <c r="H25" i="10"/>
  <c r="B17" i="10"/>
  <c r="B16" i="10"/>
  <c r="B15" i="10"/>
  <c r="B13" i="10"/>
  <c r="B11" i="10"/>
  <c r="B10" i="10"/>
  <c r="B9" i="10"/>
  <c r="B7" i="10"/>
  <c r="P12" i="11" l="1"/>
  <c r="L65" i="11"/>
  <c r="Q9" i="11" l="1"/>
  <c r="Q7" i="11"/>
  <c r="Q11" i="11"/>
  <c r="Q8" i="11"/>
  <c r="Q10" i="11"/>
  <c r="C67" i="11"/>
  <c r="E67" i="11"/>
  <c r="D67" i="11"/>
  <c r="F67" i="11"/>
  <c r="G67" i="11"/>
  <c r="I67" i="11"/>
  <c r="J67" i="11"/>
  <c r="Q12" i="11" l="1"/>
  <c r="L67" i="11"/>
  <c r="T6" i="10"/>
  <c r="C6" i="10" l="1"/>
  <c r="E6" i="10"/>
  <c r="G6" i="10"/>
  <c r="K7" i="10"/>
  <c r="K22" i="10" s="1"/>
  <c r="AB7" i="10"/>
  <c r="C8" i="10"/>
  <c r="E8" i="10"/>
  <c r="G8" i="10"/>
  <c r="I8" i="10"/>
  <c r="M8" i="10"/>
  <c r="AB8" i="10"/>
  <c r="N8" i="10" s="1"/>
  <c r="E9" i="10"/>
  <c r="C9" i="10"/>
  <c r="G9" i="10"/>
  <c r="L9" i="10"/>
  <c r="O9" i="10"/>
  <c r="O10" i="10" s="1"/>
  <c r="Y9" i="10"/>
  <c r="AB9" i="10" s="1"/>
  <c r="N9" i="10" s="1"/>
  <c r="C10" i="10"/>
  <c r="M10" i="10"/>
  <c r="AB10" i="10"/>
  <c r="N10" i="10" s="1"/>
  <c r="C11" i="10"/>
  <c r="E11" i="10"/>
  <c r="L11" i="10"/>
  <c r="M11" i="10" s="1"/>
  <c r="W11" i="10"/>
  <c r="X11" i="10"/>
  <c r="Y11" i="10"/>
  <c r="C12" i="10"/>
  <c r="G12" i="10"/>
  <c r="J12" i="10"/>
  <c r="J22" i="10" s="1"/>
  <c r="M12" i="10"/>
  <c r="AB12" i="10"/>
  <c r="N12" i="10" s="1"/>
  <c r="E13" i="10"/>
  <c r="G13" i="10"/>
  <c r="L13" i="10"/>
  <c r="M13" i="10" s="1"/>
  <c r="W13" i="10"/>
  <c r="X13" i="10"/>
  <c r="Y13" i="10"/>
  <c r="Y14" i="10" s="1"/>
  <c r="Y15" i="10" s="1"/>
  <c r="Y16" i="10" s="1"/>
  <c r="Y17" i="10" s="1"/>
  <c r="Z13" i="10"/>
  <c r="Z14" i="10" s="1"/>
  <c r="Z15" i="10" s="1"/>
  <c r="Z16" i="10" s="1"/>
  <c r="Z17" i="10" s="1"/>
  <c r="AB13" i="10"/>
  <c r="N13" i="10" s="1"/>
  <c r="C14" i="10"/>
  <c r="E14" i="10"/>
  <c r="G14" i="10"/>
  <c r="W14" i="10"/>
  <c r="X14" i="10"/>
  <c r="X15" i="10" s="1"/>
  <c r="X16" i="10" s="1"/>
  <c r="X17" i="10" s="1"/>
  <c r="C15" i="10"/>
  <c r="G16" i="10"/>
  <c r="C17" i="10"/>
  <c r="E17" i="10"/>
  <c r="M17" i="10"/>
  <c r="C18" i="10"/>
  <c r="E18" i="10"/>
  <c r="L18" i="10"/>
  <c r="M18" i="10"/>
  <c r="AB18" i="10"/>
  <c r="N18" i="10" s="1"/>
  <c r="C19" i="10"/>
  <c r="E19" i="10"/>
  <c r="G19" i="10"/>
  <c r="W19" i="10"/>
  <c r="X19" i="10"/>
  <c r="Y19" i="10"/>
  <c r="Z19" i="10"/>
  <c r="AA19" i="10"/>
  <c r="AA22" i="10" s="1"/>
  <c r="C20" i="10"/>
  <c r="E20" i="10"/>
  <c r="AB20" i="10"/>
  <c r="T21" i="10"/>
  <c r="T23" i="10"/>
  <c r="T30" i="10"/>
  <c r="AB19" i="10" l="1"/>
  <c r="P9" i="10"/>
  <c r="R8" i="10"/>
  <c r="Q8" i="10"/>
  <c r="S8" i="10"/>
  <c r="Q31" i="10" s="1"/>
  <c r="I38" i="10"/>
  <c r="G17" i="10"/>
  <c r="I47" i="10" s="1"/>
  <c r="E16" i="10"/>
  <c r="C16" i="10"/>
  <c r="AB14" i="10"/>
  <c r="N14" i="10" s="1"/>
  <c r="AB11" i="10"/>
  <c r="N11" i="10" s="1"/>
  <c r="C13" i="10"/>
  <c r="I43" i="10" s="1"/>
  <c r="I44" i="10"/>
  <c r="G10" i="10"/>
  <c r="E10" i="10"/>
  <c r="B25" i="10"/>
  <c r="I39" i="10"/>
  <c r="G11" i="10"/>
  <c r="I41" i="10" s="1"/>
  <c r="I9" i="10"/>
  <c r="W15" i="10"/>
  <c r="W16" i="10" s="1"/>
  <c r="W17" i="10" s="1"/>
  <c r="AB17" i="10" s="1"/>
  <c r="N17" i="10" s="1"/>
  <c r="P10" i="10"/>
  <c r="G20" i="10"/>
  <c r="I50" i="10" s="1"/>
  <c r="G18" i="10"/>
  <c r="I48" i="10" s="1"/>
  <c r="Y22" i="10"/>
  <c r="X22" i="10"/>
  <c r="O11" i="10"/>
  <c r="O12" i="10" s="1"/>
  <c r="I10" i="10"/>
  <c r="P12" i="10"/>
  <c r="N7" i="10"/>
  <c r="I7" i="10"/>
  <c r="L19" i="10"/>
  <c r="P8" i="10"/>
  <c r="T8" i="10" s="1"/>
  <c r="G7" i="10"/>
  <c r="E7" i="10"/>
  <c r="C7" i="10"/>
  <c r="E12" i="10"/>
  <c r="I42" i="10" s="1"/>
  <c r="Z22" i="10"/>
  <c r="G15" i="10"/>
  <c r="E15" i="10"/>
  <c r="L14" i="10"/>
  <c r="F25" i="10"/>
  <c r="I49" i="10"/>
  <c r="E22" i="10" l="1"/>
  <c r="C22" i="10"/>
  <c r="G22" i="10"/>
  <c r="I40" i="10"/>
  <c r="I46" i="10"/>
  <c r="S10" i="10"/>
  <c r="J30" i="10"/>
  <c r="H32" i="10"/>
  <c r="T9" i="10"/>
  <c r="P11" i="10"/>
  <c r="T10" i="10"/>
  <c r="I45" i="10"/>
  <c r="Q9" i="10"/>
  <c r="AB16" i="10"/>
  <c r="N16" i="10" s="1"/>
  <c r="S9" i="10"/>
  <c r="D32" i="10"/>
  <c r="D29" i="10" s="1"/>
  <c r="D26" i="10" s="1"/>
  <c r="AB15" i="10"/>
  <c r="R9" i="10"/>
  <c r="N19" i="10"/>
  <c r="M19" i="10"/>
  <c r="L20" i="10"/>
  <c r="P7" i="10"/>
  <c r="R7" i="10"/>
  <c r="I11" i="10"/>
  <c r="S7" i="10"/>
  <c r="R10" i="10"/>
  <c r="T38" i="10"/>
  <c r="Q33" i="10"/>
  <c r="P38" i="10"/>
  <c r="O13" i="10"/>
  <c r="I12" i="10"/>
  <c r="R12" i="10" s="1"/>
  <c r="L15" i="10"/>
  <c r="M14" i="10"/>
  <c r="W22" i="10"/>
  <c r="X23" i="10"/>
  <c r="I37" i="10"/>
  <c r="Q7" i="10"/>
  <c r="Q10" i="10"/>
  <c r="D27" i="10" l="1"/>
  <c r="H30" i="10"/>
  <c r="P39" i="10"/>
  <c r="F29" i="10"/>
  <c r="F26" i="10" s="1"/>
  <c r="B29" i="10"/>
  <c r="F34" i="10"/>
  <c r="N15" i="10"/>
  <c r="AB22" i="10"/>
  <c r="T39" i="10"/>
  <c r="M15" i="10"/>
  <c r="L16" i="10"/>
  <c r="T12" i="10"/>
  <c r="Q12" i="10"/>
  <c r="S12" i="10"/>
  <c r="T37" i="10"/>
  <c r="M20" i="10"/>
  <c r="N20" i="10"/>
  <c r="T11" i="10"/>
  <c r="S11" i="10"/>
  <c r="Q11" i="10"/>
  <c r="R11" i="10"/>
  <c r="T40" i="10"/>
  <c r="P40" i="10"/>
  <c r="O14" i="10"/>
  <c r="I13" i="10"/>
  <c r="P13" i="10"/>
  <c r="T7" i="10"/>
  <c r="P37" i="10"/>
  <c r="W24" i="10"/>
  <c r="W23" i="10"/>
  <c r="AB23" i="10" s="1"/>
  <c r="B4" i="8"/>
  <c r="G4" i="8"/>
  <c r="B6" i="8"/>
  <c r="B10" i="8"/>
  <c r="G10" i="8"/>
  <c r="B12" i="8"/>
  <c r="F16" i="8"/>
  <c r="B19" i="8"/>
  <c r="D19" i="8"/>
  <c r="F19" i="8"/>
  <c r="B20" i="8" s="1"/>
  <c r="H19" i="8"/>
  <c r="B26" i="10" l="1"/>
  <c r="F27" i="10"/>
  <c r="N22" i="10"/>
  <c r="AB24" i="10"/>
  <c r="X24" i="10"/>
  <c r="Y24" i="10"/>
  <c r="AA24" i="10"/>
  <c r="Z24" i="10"/>
  <c r="T42" i="10"/>
  <c r="P42" i="10"/>
  <c r="T13" i="10"/>
  <c r="S13" i="10"/>
  <c r="Q13" i="10"/>
  <c r="R13" i="10"/>
  <c r="O15" i="10"/>
  <c r="I14" i="10"/>
  <c r="P14" i="10"/>
  <c r="M16" i="10"/>
  <c r="M22" i="10" s="1"/>
  <c r="L22" i="10"/>
  <c r="T41" i="10"/>
  <c r="P41" i="10"/>
  <c r="D22" i="8"/>
  <c r="H25" i="8" s="1"/>
  <c r="F20" i="8"/>
  <c r="B27" i="10" l="1"/>
  <c r="H27" i="10" s="1"/>
  <c r="T14" i="10"/>
  <c r="R14" i="10"/>
  <c r="Q14" i="10"/>
  <c r="S14" i="10"/>
  <c r="O16" i="10"/>
  <c r="P15" i="10"/>
  <c r="I15" i="10"/>
  <c r="T43" i="10"/>
  <c r="P43" i="10"/>
  <c r="T44" i="10" l="1"/>
  <c r="P44" i="10"/>
  <c r="T15" i="10"/>
  <c r="Q15" i="10"/>
  <c r="S15" i="10"/>
  <c r="R15" i="10"/>
  <c r="O17" i="10"/>
  <c r="I16" i="10"/>
  <c r="P16" i="10"/>
  <c r="Q16" i="10" l="1"/>
  <c r="T16" i="10"/>
  <c r="R16" i="10"/>
  <c r="S16" i="10"/>
  <c r="O18" i="10"/>
  <c r="I17" i="10"/>
  <c r="P17" i="10"/>
  <c r="T45" i="10"/>
  <c r="P45" i="10"/>
  <c r="T17" i="10" l="1"/>
  <c r="R17" i="10"/>
  <c r="Q17" i="10"/>
  <c r="S17" i="10"/>
  <c r="O19" i="10"/>
  <c r="I18" i="10"/>
  <c r="P18" i="10"/>
  <c r="T46" i="10"/>
  <c r="P46" i="10"/>
  <c r="T18" i="10" l="1"/>
  <c r="Q18" i="10"/>
  <c r="S18" i="10"/>
  <c r="R18" i="10"/>
  <c r="O20" i="10"/>
  <c r="I19" i="10"/>
  <c r="P19" i="10"/>
  <c r="O22" i="10"/>
  <c r="P29" i="10" s="1"/>
  <c r="T47" i="10"/>
  <c r="P47" i="10"/>
  <c r="I20" i="10" l="1"/>
  <c r="I22" i="10" s="1"/>
  <c r="B34" i="10" s="1"/>
  <c r="P20" i="10"/>
  <c r="P22" i="10" s="1"/>
  <c r="T19" i="10"/>
  <c r="Q19" i="10"/>
  <c r="R19" i="10"/>
  <c r="S19" i="10"/>
  <c r="T48" i="10"/>
  <c r="P48" i="10"/>
  <c r="B36" i="10" l="1"/>
  <c r="D28" i="10"/>
  <c r="D30" i="10" s="1"/>
  <c r="F28" i="10"/>
  <c r="F30" i="10" s="1"/>
  <c r="B28" i="10"/>
  <c r="T49" i="10"/>
  <c r="P49" i="10"/>
  <c r="T20" i="10"/>
  <c r="T22" i="10" s="1"/>
  <c r="R20" i="10"/>
  <c r="R22" i="10" s="1"/>
  <c r="S20" i="10"/>
  <c r="S22" i="10" s="1"/>
  <c r="Q20" i="10"/>
  <c r="H28" i="10" l="1"/>
  <c r="B30" i="10"/>
  <c r="F32" i="10" s="1"/>
  <c r="B31" i="10"/>
  <c r="D31" i="10"/>
  <c r="F31" i="10"/>
  <c r="R25" i="10"/>
  <c r="T50" i="10"/>
  <c r="P50" i="10"/>
  <c r="Q22" i="10"/>
  <c r="S23" i="10" s="1"/>
  <c r="J29" i="10"/>
  <c r="T31" i="10"/>
  <c r="H31" i="10" l="1"/>
  <c r="T29" i="10"/>
</calcChain>
</file>

<file path=xl/sharedStrings.xml><?xml version="1.0" encoding="utf-8"?>
<sst xmlns="http://schemas.openxmlformats.org/spreadsheetml/2006/main" count="955" uniqueCount="602">
  <si>
    <t>ZONING INFORMATION</t>
  </si>
  <si>
    <t>FAR</t>
  </si>
  <si>
    <t>Applicable Resolution:</t>
  </si>
  <si>
    <t>Address:</t>
  </si>
  <si>
    <t>Block:</t>
  </si>
  <si>
    <t>Lot(s):</t>
  </si>
  <si>
    <t>Zoning District:</t>
  </si>
  <si>
    <t>Zoning Map:</t>
  </si>
  <si>
    <t>USES</t>
  </si>
  <si>
    <t>141-22</t>
  </si>
  <si>
    <t>FLOOR AREA</t>
  </si>
  <si>
    <t>LOT COVERAGE</t>
  </si>
  <si>
    <t>LOT AREA/ DU</t>
  </si>
  <si>
    <t>N/A</t>
  </si>
  <si>
    <t>YARD</t>
  </si>
  <si>
    <t>Front Yard</t>
  </si>
  <si>
    <t>None</t>
  </si>
  <si>
    <t>Side Yard</t>
  </si>
  <si>
    <t>HEIGHT &amp; SETBACK</t>
  </si>
  <si>
    <t>12-10</t>
  </si>
  <si>
    <t>Base Plane Elevation</t>
  </si>
  <si>
    <t>141-23(a)</t>
  </si>
  <si>
    <t>141-23(c)</t>
  </si>
  <si>
    <t>141-23(b)</t>
  </si>
  <si>
    <t>Max Number of Stories</t>
  </si>
  <si>
    <t>Initial Setback</t>
  </si>
  <si>
    <t>PARKING</t>
  </si>
  <si>
    <t>None required for Income-restricted housing units in Transit Zones</t>
  </si>
  <si>
    <t>STREET TREES</t>
  </si>
  <si>
    <t>23-03</t>
  </si>
  <si>
    <t>Req'd Street Trees</t>
  </si>
  <si>
    <t>QUALITY HOUSING</t>
  </si>
  <si>
    <t>28-12</t>
  </si>
  <si>
    <t>Refuse Storage and Disposal</t>
  </si>
  <si>
    <t>Refuse room min 12 SF/flr;
No dimension less than 3.0'</t>
  </si>
  <si>
    <t>28-13</t>
  </si>
  <si>
    <t>Laundry Facilities</t>
  </si>
  <si>
    <t>(1)washer/20 DU and 
(1)dryer/40 DU and
ext. wall w/ windows</t>
  </si>
  <si>
    <t>28-14</t>
  </si>
  <si>
    <t>Daylight in Corridors</t>
  </si>
  <si>
    <t>28-21</t>
  </si>
  <si>
    <t>Required Recreation Space</t>
  </si>
  <si>
    <t>Planting Areas</t>
  </si>
  <si>
    <t>28-31</t>
  </si>
  <si>
    <t>Density per Corridor</t>
  </si>
  <si>
    <t>28-40</t>
  </si>
  <si>
    <t>Parking for QH</t>
  </si>
  <si>
    <t>Parking screened from DUs; not permitted between street line and street wall</t>
  </si>
  <si>
    <t xml:space="preserve">141-33 </t>
  </si>
  <si>
    <t>UNIT DISTRIBUTION</t>
  </si>
  <si>
    <t>Net residential floor area (73% of zoning floor area)</t>
  </si>
  <si>
    <t>0-Bedroom</t>
  </si>
  <si>
    <t>1-Bedrooms</t>
  </si>
  <si>
    <t>2-Bedrooms</t>
  </si>
  <si>
    <t>3-Bedrooms</t>
  </si>
  <si>
    <t>Possible number of units</t>
  </si>
  <si>
    <t>R8A / C2-4 in 'J' District (Special Jerome Corridor District)</t>
  </si>
  <si>
    <t>3d</t>
  </si>
  <si>
    <t>- Hazardous Materials* Phase I and Phase II Testing Protocol</t>
  </si>
  <si>
    <t>- Window Wall Attenuation &amp; Alternate Ventilation</t>
  </si>
  <si>
    <t>E442, 3.21.18, CEQR #17DCP055R, Appl. #'s 180180051AZMZ, 180050AZRX, 170305MMX.</t>
  </si>
  <si>
    <t>Housing Designation:</t>
  </si>
  <si>
    <t>E-Designation:</t>
  </si>
  <si>
    <t>Lot Area (100x140):</t>
  </si>
  <si>
    <t>Corner lot portion (50x100):</t>
  </si>
  <si>
    <t>Dwelling Unit Factor (680)</t>
  </si>
  <si>
    <t>Rear Yard</t>
  </si>
  <si>
    <t>23-45</t>
  </si>
  <si>
    <t>23-462</t>
  </si>
  <si>
    <t>22-00 / 32-00</t>
  </si>
  <si>
    <t xml:space="preserve">23-153
</t>
  </si>
  <si>
    <t>Site is even.</t>
  </si>
  <si>
    <t>TBD after survey</t>
  </si>
  <si>
    <t>Max. w/in 75' of corner.</t>
  </si>
  <si>
    <t>Max. beyond 75' of corner</t>
  </si>
  <si>
    <t>Max. Building Height</t>
  </si>
  <si>
    <t>10' for wide st. Jerome Ave is 100.0'.</t>
  </si>
  <si>
    <t>Min. base height of 15'.</t>
  </si>
  <si>
    <t>Min. Base Height.</t>
  </si>
  <si>
    <t>1-BR</t>
  </si>
  <si>
    <t>2-BR</t>
  </si>
  <si>
    <t>3-BR</t>
  </si>
  <si>
    <t>Area</t>
  </si>
  <si>
    <t>Special Open Space Provisions.</t>
  </si>
  <si>
    <t>3' wide planting strip.</t>
  </si>
  <si>
    <t>A</t>
  </si>
  <si>
    <t>B</t>
  </si>
  <si>
    <t>C</t>
  </si>
  <si>
    <t>D</t>
  </si>
  <si>
    <t>F</t>
  </si>
  <si>
    <t>G</t>
  </si>
  <si>
    <t>E</t>
  </si>
  <si>
    <t>H</t>
  </si>
  <si>
    <t>Various options including 3' min. plant. strip.</t>
  </si>
  <si>
    <t>Provided at cellar.</t>
  </si>
  <si>
    <t>Provided at each floor.</t>
  </si>
  <si>
    <t>Provided. Deduction taken.</t>
  </si>
  <si>
    <t>Provided</t>
  </si>
  <si>
    <t>NA</t>
  </si>
  <si>
    <t>Mandatory Inclusionary Housing Area (MIH)</t>
  </si>
  <si>
    <t>Transit Designation:</t>
  </si>
  <si>
    <t>Site is in Bronx CB 5, which is included in the Transit Zone, per Appendix I of the zoning resolution.</t>
  </si>
  <si>
    <t>Interior lot portion:</t>
  </si>
  <si>
    <t>Base FAR</t>
  </si>
  <si>
    <t>Maximum permitted for zoning lot:</t>
  </si>
  <si>
    <t>Base floor area maximum:</t>
  </si>
  <si>
    <t>Totals</t>
  </si>
  <si>
    <t xml:space="preserve">23-47 &amp; 23-541 </t>
  </si>
  <si>
    <t>30'-0" min. (at interior lot portion only).</t>
  </si>
  <si>
    <t>No rear yard required withing 100' of corner.</t>
  </si>
  <si>
    <t>23-861</t>
  </si>
  <si>
    <t>Min. distance between windows and lot lines.</t>
  </si>
  <si>
    <t>141-23(b) Max. Base Height (w/in 10' of street line on wide street.)</t>
  </si>
  <si>
    <t>Zoning Resolution Sec.</t>
  </si>
  <si>
    <t>Item / Description</t>
  </si>
  <si>
    <t>Permitted / Required</t>
  </si>
  <si>
    <t>Proposed</t>
  </si>
  <si>
    <t>Notes</t>
  </si>
  <si>
    <t>Calc. for min. affordable floor area factor:</t>
  </si>
  <si>
    <t>Calculation for minimum affordable housing floor area required:</t>
  </si>
  <si>
    <t>Plant between street line and street wall</t>
  </si>
  <si>
    <t>Min. 20 SF of glazing visible from… the vertical circulation core.</t>
  </si>
  <si>
    <t>28-22</t>
  </si>
  <si>
    <t>Standards for Recreation Space</t>
  </si>
  <si>
    <t>28-23 (also ref. 141-33 below)</t>
  </si>
  <si>
    <t>Elected MIH Option and Income Bands</t>
  </si>
  <si>
    <t>Option 1 - 25 % of FA affordable housing.</t>
  </si>
  <si>
    <t>The weighted average of all income bands for affordable housing units shall not exceed 60 percent of the income index, and there shall be no more than three income bands. At least 10 percent of the residential floor area within such MIH development shall be affordable within an income band at 40 percent of the income index, and no income band shall exceed 130 percent of the income index.</t>
  </si>
  <si>
    <t>Zoning Resolution of The City of New York City Planning Commission Department of City Planning numbers below refer to this document.</t>
  </si>
  <si>
    <t>1760 Jerome Ave., Bronx, NY 10453</t>
  </si>
  <si>
    <t>%</t>
  </si>
  <si>
    <t>Total</t>
  </si>
  <si>
    <t>Residential</t>
  </si>
  <si>
    <t>24-111(b)</t>
  </si>
  <si>
    <t>UG2 MIH</t>
  </si>
  <si>
    <t>1 per 10,000sf of floor area</t>
  </si>
  <si>
    <r>
      <t xml:space="preserve">Proposed Distribution </t>
    </r>
    <r>
      <rPr>
        <b/>
        <sz val="8"/>
        <rFont val="Arial"/>
        <family val="2"/>
      </rPr>
      <t>(71% Studios/ 17% 1-BRs/ 6% 2-BRs/ 6% 3-BRs)</t>
    </r>
  </si>
  <si>
    <t>SUMMARY</t>
  </si>
  <si>
    <t>Construction of new fourteen-story residence with approximately 175 supportive housing units, 105,000sf gross floor area, including a cellar.</t>
  </si>
  <si>
    <t>Street Wall Articulation                                    (for site widths exceeding 100')</t>
  </si>
  <si>
    <t>1 per 25' of street frontage:</t>
  </si>
  <si>
    <t>140' / 25' = 5.6 street trees required</t>
  </si>
  <si>
    <t>141-32</t>
  </si>
  <si>
    <t>Any portion of a ground floor level street frontage of a zoning lot in a Commercial District located within 50 feet of street lines along the elevated rail structure on Jerome…shall be considered primary street frontage.</t>
  </si>
  <si>
    <t>(a) For buildings with primary street frontage, uses on the ground floor level, to the min. depth set forth in Section 37-32, shall be limited to non-residential uses, except for Type 1 lobbies… Ground floor level street walls shall be glazed in accordance with the provisions set forth in Section 37-34.</t>
  </si>
  <si>
    <t>Minimum Tansparency Requirements</t>
  </si>
  <si>
    <t>Min. 50% of the surface area ground floor level street wall between a height of two feet and 12 feet, or the height of the ground floor ceiling, whichever is higher, as measured from the adjoining sidewalk. Transparent materials provided shall not begin higher than 2 feet, 6 inches, above the sidewalk</t>
  </si>
  <si>
    <t>141-32 / 37-34</t>
  </si>
  <si>
    <t>141-32 / 37-33</t>
  </si>
  <si>
    <t>Maximum Width of Certain Uses</t>
  </si>
  <si>
    <t>(a) (1) Ground floor Type 1 lobbies</t>
  </si>
  <si>
    <t>Max. 25% of street wall width or 20' on a wide street, whichever is less</t>
  </si>
  <si>
    <t>COMPLIES</t>
  </si>
  <si>
    <t>141-21</t>
  </si>
  <si>
    <t>Special Permitted Obstructions</t>
  </si>
  <si>
    <t>Any non-residential building up to 30' height or two stories</t>
  </si>
  <si>
    <t>141-23(a) / 35-651(e)</t>
  </si>
  <si>
    <t>Street Wall Articulation</t>
  </si>
  <si>
    <t>=</t>
  </si>
  <si>
    <t>x</t>
  </si>
  <si>
    <t>+</t>
  </si>
  <si>
    <t>ADJUSTED BASE PLANE PER ZR 12-10 BASE PLANE DEFINITION SECTION (C)</t>
  </si>
  <si>
    <t>SF</t>
  </si>
  <si>
    <t>TOTAL</t>
  </si>
  <si>
    <t>BEACH CHANNEL</t>
  </si>
  <si>
    <t xml:space="preserve">REDFERN     </t>
  </si>
  <si>
    <t>FT.</t>
  </si>
  <si>
    <t>BEACH CHANNEL DRIVE STREET WALL LINE LEVEL</t>
  </si>
  <si>
    <t>Beach Channel</t>
  </si>
  <si>
    <t>Redfern</t>
  </si>
  <si>
    <t>Survey Points</t>
  </si>
  <si>
    <t>REDFERN AVE. STREET WALL LINE LEVEL</t>
  </si>
  <si>
    <t>Difference:</t>
  </si>
  <si>
    <t>Allowable:</t>
  </si>
  <si>
    <t>*Total includes 1 Super's Unit</t>
  </si>
  <si>
    <t>SUM</t>
  </si>
  <si>
    <t>Bulkhead</t>
  </si>
  <si>
    <t>8th FL</t>
  </si>
  <si>
    <t>7th FL</t>
  </si>
  <si>
    <t>6th FL</t>
  </si>
  <si>
    <t>5th FL</t>
  </si>
  <si>
    <t>4th FL</t>
  </si>
  <si>
    <t>3rd FL</t>
  </si>
  <si>
    <t>2nd FL</t>
  </si>
  <si>
    <t>Cellar</t>
  </si>
  <si>
    <t>2BR</t>
  </si>
  <si>
    <t>1BR</t>
  </si>
  <si>
    <t>0BR</t>
  </si>
  <si>
    <t>UG2</t>
  </si>
  <si>
    <t>UG3
(0BR)</t>
  </si>
  <si>
    <t>UG2 ZFA</t>
  </si>
  <si>
    <t>Total Deductions</t>
  </si>
  <si>
    <t>Trash Room per ZR 28-12</t>
  </si>
  <si>
    <t>Res. Corridor Daylight per ZR 28-14 (50% of area)</t>
  </si>
  <si>
    <t>Mechanical Deductions per ZR 12-10</t>
  </si>
  <si>
    <t>Gross FA</t>
  </si>
  <si>
    <t>UG2 RESIDENTIAL</t>
  </si>
  <si>
    <t>Unit Tabulation (Residential)</t>
  </si>
  <si>
    <t>Zoning FA</t>
  </si>
  <si>
    <t>Floor Area Calculations</t>
  </si>
  <si>
    <t>1st FL</t>
  </si>
  <si>
    <t>9th FL</t>
  </si>
  <si>
    <t>10th FL</t>
  </si>
  <si>
    <t>11th FL</t>
  </si>
  <si>
    <t>12th FL</t>
  </si>
  <si>
    <t>13th FL</t>
  </si>
  <si>
    <t>14th FL</t>
  </si>
  <si>
    <t>3BR</t>
  </si>
  <si>
    <t>UG2 MIH ZFA</t>
  </si>
  <si>
    <t>Recreation Area:</t>
  </si>
  <si>
    <t>UG3 SUPPORTIVE (REPORT)</t>
  </si>
  <si>
    <t>UG2 RESIDENTIAL (REPORT)</t>
  </si>
  <si>
    <t>UG3 SUPPORTIVE</t>
  </si>
  <si>
    <t>UG2 MIH (REPORT)</t>
  </si>
  <si>
    <t>UG3 ZFA</t>
  </si>
  <si>
    <t>CHECK:</t>
  </si>
  <si>
    <t>Res. Corridor Density per ZR 28-31 (50% of area)</t>
  </si>
  <si>
    <t>Corridor Area (Report)</t>
  </si>
  <si>
    <t>Stair for Bldgs &gt; 125' per ZR 12-10</t>
  </si>
  <si>
    <t>Check Gross:</t>
  </si>
  <si>
    <t>Check Deducts:</t>
  </si>
  <si>
    <t>Check ZFA:</t>
  </si>
  <si>
    <t>COMMON (REPORT)</t>
  </si>
  <si>
    <t>Min. Depth: 3'
Max. Projection: 3'</t>
  </si>
  <si>
    <t>0' Projection or recess provided at the 2nd and 3rd floors. 
3' projections provided above</t>
  </si>
  <si>
    <t>Difference between proposed &amp; base FA:</t>
  </si>
  <si>
    <t>Note: UG3 Supportive Housing And UG2 residential total areas include proportional common space; Zoning deductions are also subtracted proportionally per use group</t>
  </si>
  <si>
    <t>35-31 / 33-012 (b)(2) / 33-121(d)(e) / 23-153</t>
  </si>
  <si>
    <t>Entire Street Wall located within 8' of street line up to 30' base height.</t>
  </si>
  <si>
    <t>Permitted recess or projection up to 1' or max 50% of street wall up to 3' beyond street wall, up to min. 15' height. Remaining may be recessed beyond</t>
  </si>
  <si>
    <t>Ground Floor Depth Requirements for Certain Uses</t>
  </si>
  <si>
    <t>Min. 30' except circulation core.</t>
  </si>
  <si>
    <t>141-32 / 37-32</t>
  </si>
  <si>
    <t>36-711</t>
  </si>
  <si>
    <t>36-21</t>
  </si>
  <si>
    <t>None required</t>
  </si>
  <si>
    <t>36-35 / 25-251</t>
  </si>
  <si>
    <t>Rear Yard FA:</t>
  </si>
  <si>
    <t xml:space="preserve">Outdoor: min 225 SF; min 15.0'
Indoor: min 300 SF; min 15.0';
Windows: min 9.5% of FA
</t>
  </si>
  <si>
    <t>2.8% of total residential area</t>
  </si>
  <si>
    <t>See Z-101</t>
  </si>
  <si>
    <t>Less than 10 dwelling units 
served per corridor</t>
  </si>
  <si>
    <t>Provided at floors 12, 13, and 14.</t>
  </si>
  <si>
    <r>
      <t>For street walls fronting the elevated rail structure on Jerome or River Avenues with widths exceeding 100 feet,</t>
    </r>
    <r>
      <rPr>
        <b/>
        <sz val="8"/>
        <rFont val="Arial"/>
        <family val="2"/>
      </rPr>
      <t xml:space="preserve"> a minimum of 20 percent</t>
    </r>
    <r>
      <rPr>
        <sz val="8"/>
        <rFont val="Arial"/>
        <family val="2"/>
      </rPr>
      <t xml:space="preserve"> of the surface area of such street walls above the level of</t>
    </r>
    <r>
      <rPr>
        <b/>
        <sz val="8"/>
        <rFont val="Arial"/>
        <family val="2"/>
      </rPr>
      <t xml:space="preserve"> the second story, or a height of 30 feet</t>
    </r>
    <r>
      <rPr>
        <sz val="8"/>
        <rFont val="Arial"/>
        <family val="2"/>
      </rPr>
      <t>, whichever is lower, shall either recess or project</t>
    </r>
    <r>
      <rPr>
        <b/>
        <sz val="8"/>
        <rFont val="Arial"/>
        <family val="2"/>
      </rPr>
      <t xml:space="preserve"> a minimum of three feet from the remaining surface of the street wall</t>
    </r>
    <r>
      <rPr>
        <sz val="8"/>
        <rFont val="Arial"/>
        <family val="2"/>
      </rPr>
      <t>. Any such projections shall be considered a permitted obstruction into a required setback, and the depth of such projections along the elevated rail structure shall</t>
    </r>
    <r>
      <rPr>
        <b/>
        <sz val="8"/>
        <rFont val="Arial"/>
        <family val="2"/>
      </rPr>
      <t xml:space="preserve"> not exceed three feet</t>
    </r>
    <r>
      <rPr>
        <sz val="8"/>
        <rFont val="Arial"/>
        <family val="2"/>
      </rPr>
      <t>.</t>
    </r>
  </si>
  <si>
    <t>Tree Fund payment: 2  
On-Site: 1 Existing Tree to Remain, 3 New Trees</t>
  </si>
  <si>
    <t>0'-0" Projection or recess provided at the 2nd and 3rd floors. 3'-0" projections provided above.
Total SA: 19,754 SF
Proposed Projection/ Recess SA: 19,754 SF</t>
  </si>
  <si>
    <t>At least 70 percent of the aggregate width of street walls shall be located within 8'-0" of the street line and shall extend to at least a minimum base height of 15'-0", or the height of the building, whichever is lower. The remaining aggregate width of street walls may be recessed beyond 8'-0" of the street line, provided that any such recesses deeper than 10'-0" along a wide street or 15'-0" along a narrow street are located within an outer court.
Min. Articulation wall area @ 2nd story and up should be projected or recess 3'-0": 14905 SF</t>
  </si>
  <si>
    <t>16.46' Refer to A-101</t>
  </si>
  <si>
    <t>32.73' Refer to A-101</t>
  </si>
  <si>
    <t>See diagram D/Z-100</t>
  </si>
  <si>
    <t>Site located in Community District 5 transit zone; None required or provided.</t>
  </si>
  <si>
    <t>off from rvt by .01</t>
  </si>
  <si>
    <t>matches revit schedule</t>
  </si>
  <si>
    <t>PERCENTAGES</t>
  </si>
  <si>
    <t>COMMON AREA</t>
  </si>
  <si>
    <t>DEDUCTIONS</t>
  </si>
  <si>
    <t>Community - nonprofit w/sleeping (UG IIIA)</t>
  </si>
  <si>
    <t>Multi-family residential use (UG-II) / Community facility Use (UG- IIIA) - Non-Profit Institution with Sleeping Accomodations (NPISA)
Community facility Use (UG-IIIA) - Non-Profit Institution with Sleeping Accomodations (NPISA)</t>
  </si>
  <si>
    <t>Community - nonprofit w/sleeping (UG-IIIA)</t>
  </si>
  <si>
    <t>Max. UG-II available after UG-IIIA deducted.</t>
  </si>
  <si>
    <t>UG-IIIA DU's N/A</t>
  </si>
  <si>
    <t>68 UG-II DU'S</t>
  </si>
  <si>
    <t>UG-IIIA NPISA is a non-residential use</t>
  </si>
  <si>
    <t>Required Accessory Parking UG-II</t>
  </si>
  <si>
    <t>Bicycle Parking - UG-II</t>
  </si>
  <si>
    <t>Required Accessory Parking UG-IIIA</t>
  </si>
  <si>
    <t>Bicycle Parking - UG-IIIA</t>
  </si>
  <si>
    <t>res in unit gsf</t>
  </si>
  <si>
    <t>1 - 2 BR</t>
  </si>
  <si>
    <t>3 STUDIOS</t>
  </si>
  <si>
    <t>1 - 3 BR</t>
  </si>
  <si>
    <t>UG3</t>
  </si>
  <si>
    <t>14FL</t>
  </si>
  <si>
    <t>1 - 1 BR</t>
  </si>
  <si>
    <t>1 STUDIO</t>
  </si>
  <si>
    <t>13FL</t>
  </si>
  <si>
    <t>12FL</t>
  </si>
  <si>
    <t>1- 2BR</t>
  </si>
  <si>
    <t>2 - 1 BR</t>
  </si>
  <si>
    <t>8 STUDIOS</t>
  </si>
  <si>
    <t>1 STUDIOS</t>
  </si>
  <si>
    <t>11FL</t>
  </si>
  <si>
    <t>10FL</t>
  </si>
  <si>
    <t>9FL</t>
  </si>
  <si>
    <t>9 STUDIOS</t>
  </si>
  <si>
    <t>8FL</t>
  </si>
  <si>
    <t>7FL</t>
  </si>
  <si>
    <t>X4 H/V</t>
  </si>
  <si>
    <t>X5 UG3 M/I</t>
  </si>
  <si>
    <t>6FL</t>
  </si>
  <si>
    <t>X2 UG2</t>
  </si>
  <si>
    <t>X2 UG2 MIH</t>
  </si>
  <si>
    <t>7 STUDIOS</t>
  </si>
  <si>
    <t>5FL</t>
  </si>
  <si>
    <t>P</t>
  </si>
  <si>
    <t>O</t>
  </si>
  <si>
    <t>N</t>
  </si>
  <si>
    <t>M</t>
  </si>
  <si>
    <t>L</t>
  </si>
  <si>
    <t>K</t>
  </si>
  <si>
    <t>J</t>
  </si>
  <si>
    <t>I</t>
  </si>
  <si>
    <t>UG3 M/I (0)</t>
  </si>
  <si>
    <t>K11</t>
  </si>
  <si>
    <t>B13A</t>
  </si>
  <si>
    <t>14F</t>
  </si>
  <si>
    <t>UG2 H/V (1)</t>
  </si>
  <si>
    <t>12A</t>
  </si>
  <si>
    <t>4FL</t>
  </si>
  <si>
    <t>K2</t>
  </si>
  <si>
    <t>11C</t>
  </si>
  <si>
    <t>UG3 H/V (0)</t>
  </si>
  <si>
    <t>9C</t>
  </si>
  <si>
    <t>8L</t>
  </si>
  <si>
    <t>UG2 M/I &amp; MIH (2)</t>
  </si>
  <si>
    <t>1 -1 BR</t>
  </si>
  <si>
    <t>2 STUDIOS</t>
  </si>
  <si>
    <t>7C</t>
  </si>
  <si>
    <t>3FL</t>
  </si>
  <si>
    <t>6A</t>
  </si>
  <si>
    <t>UG2 M/I (1)</t>
  </si>
  <si>
    <t>5K</t>
  </si>
  <si>
    <t>4K</t>
  </si>
  <si>
    <t>UG3 H/V (1)</t>
  </si>
  <si>
    <t>12 STUDIOS</t>
  </si>
  <si>
    <t>3C</t>
  </si>
  <si>
    <t>2FL</t>
  </si>
  <si>
    <t>B14</t>
  </si>
  <si>
    <t>2L</t>
  </si>
  <si>
    <t>UG2 M/I (2)</t>
  </si>
  <si>
    <t>1C</t>
  </si>
  <si>
    <t>10 STUDIOS</t>
  </si>
  <si>
    <t>KITCHEN</t>
  </si>
  <si>
    <t>BATHROOM</t>
  </si>
  <si>
    <t>UNIT</t>
  </si>
  <si>
    <t>UG2 M/I (3)</t>
  </si>
  <si>
    <t>1FL</t>
  </si>
  <si>
    <t>SH=     SUPPORTIVE HOUSING</t>
  </si>
  <si>
    <t>H/V=   HEARING / VISUAL IMPAIRED UNIT</t>
  </si>
  <si>
    <t>M/I=   MOBILITY IMPAIRED</t>
  </si>
  <si>
    <t>MIH=   MANDATORY INCLUSIONARY HOUSING</t>
  </si>
  <si>
    <t>1br</t>
  </si>
  <si>
    <t>unit name</t>
  </si>
  <si>
    <t>qty bdr</t>
  </si>
  <si>
    <t>area</t>
  </si>
  <si>
    <t>No</t>
  </si>
  <si>
    <t>879.64 SF</t>
  </si>
  <si>
    <t>726.19 SF</t>
  </si>
  <si>
    <t>UNIT 14A</t>
  </si>
  <si>
    <t>UNIT 13G</t>
  </si>
  <si>
    <t>UNIT 13A</t>
  </si>
  <si>
    <t>UNIT 12G</t>
  </si>
  <si>
    <t>726.06 SF</t>
  </si>
  <si>
    <t>UNIT 11A</t>
  </si>
  <si>
    <t>501.71 SF</t>
  </si>
  <si>
    <t>500.88 SF</t>
  </si>
  <si>
    <t>Name</t>
  </si>
  <si>
    <t>972.77 SF</t>
  </si>
  <si>
    <t>Yes</t>
  </si>
  <si>
    <t>UNIT 14D</t>
  </si>
  <si>
    <t>890.43 SF</t>
  </si>
  <si>
    <t>UNIT 13B</t>
  </si>
  <si>
    <t>UNIT 12B</t>
  </si>
  <si>
    <t>UNIT 11L</t>
  </si>
  <si>
    <t>UNIT 10L</t>
  </si>
  <si>
    <t>UNIT 9L</t>
  </si>
  <si>
    <t>UNIT 8H</t>
  </si>
  <si>
    <t>UNIT 8A</t>
  </si>
  <si>
    <t>UNIT 7H</t>
  </si>
  <si>
    <t>UNIT 6H</t>
  </si>
  <si>
    <t>UNIT 6A</t>
  </si>
  <si>
    <t>UNIT 4L</t>
  </si>
  <si>
    <t>585.66 SF</t>
  </si>
  <si>
    <t>UNIT 3B</t>
  </si>
  <si>
    <t>UNIT 2B</t>
  </si>
  <si>
    <t>MIH UNITS</t>
  </si>
  <si>
    <t>already mih?</t>
  </si>
  <si>
    <t xml:space="preserve">proposed: </t>
  </si>
  <si>
    <t xml:space="preserve">required: </t>
  </si>
  <si>
    <t xml:space="preserve">difference: </t>
  </si>
  <si>
    <t>Use Group</t>
  </si>
  <si>
    <t>UNIT 2M</t>
  </si>
  <si>
    <t>UNIT 2A</t>
  </si>
  <si>
    <t>UNIT 3M</t>
  </si>
  <si>
    <t>UNIT 3A</t>
  </si>
  <si>
    <t>UNIT 3E</t>
  </si>
  <si>
    <t>UNIT 4M</t>
  </si>
  <si>
    <t>UNIT 4N</t>
  </si>
  <si>
    <t>UNIT 4P</t>
  </si>
  <si>
    <t>UNIT 5M</t>
  </si>
  <si>
    <t>UNIT 5N</t>
  </si>
  <si>
    <t>UNIT 5P</t>
  </si>
  <si>
    <t>UNIT 12J</t>
  </si>
  <si>
    <t>UNIT 12H</t>
  </si>
  <si>
    <t>UNIT 12E</t>
  </si>
  <si>
    <t>UNIT 13J</t>
  </si>
  <si>
    <t>UNIT 13H</t>
  </si>
  <si>
    <t>UNIT 13C</t>
  </si>
  <si>
    <t>UNIT 13E</t>
  </si>
  <si>
    <t>UNIT 14J</t>
  </si>
  <si>
    <t>UNIT 14H</t>
  </si>
  <si>
    <t>UNIT 14C</t>
  </si>
  <si>
    <t>ZFA DIVIDED</t>
  </si>
  <si>
    <t>USE GROUP GFA</t>
  </si>
  <si>
    <t>TOTAL COMMON</t>
  </si>
  <si>
    <t>RES AND COMMON</t>
  </si>
  <si>
    <t>100,643 SF - 75,600 SF = 25,043 SF</t>
  </si>
  <si>
    <t>25,043 SF / 1.25 = 20,034 SF</t>
  </si>
  <si>
    <t>Non-residential Floor area: 50,399 SF</t>
  </si>
  <si>
    <t>100634 x .028 = 2817.7 SF</t>
  </si>
  <si>
    <t>EFF OBR</t>
  </si>
  <si>
    <t>UG-IIIA</t>
  </si>
  <si>
    <t>UG-II</t>
  </si>
  <si>
    <t>23-154 (d)(3)(i)</t>
  </si>
  <si>
    <t>14,000 SF x 7.2 = 100,800 SF</t>
  </si>
  <si>
    <t>23-154(d)(2)</t>
  </si>
  <si>
    <t xml:space="preserve">14,000 SF x 6.02 = 84,280 SF </t>
  </si>
  <si>
    <t>14,000 SF x 7.2= 100,800 SF</t>
  </si>
  <si>
    <t>(11,300SF / 14,000 SF)X 100 = 80.7%</t>
  </si>
  <si>
    <t>Max for Corner Lot = 5000 SF X100%=5000</t>
  </si>
  <si>
    <t>Max for Interior Lot = 9000 SF X70%=6,300</t>
  </si>
  <si>
    <t xml:space="preserve">Total Coverage permitted:5000+6300=11300 </t>
  </si>
  <si>
    <t>Proposed Lot Coverage %</t>
  </si>
  <si>
    <t>Maximum Lot Coverage %</t>
  </si>
  <si>
    <t>(9001.23/14000)X100= 64.3%</t>
  </si>
  <si>
    <t>50243 SF * .25 = Required MIH SF</t>
  </si>
  <si>
    <t>12,560 SF</t>
  </si>
  <si>
    <t>11 STUDIOS</t>
  </si>
  <si>
    <t>3 - 1 BR</t>
  </si>
  <si>
    <t>2 - 3 BR</t>
  </si>
  <si>
    <t>CHECK SUMS</t>
  </si>
  <si>
    <t>UG-IIIA M/I</t>
  </si>
  <si>
    <t>UG-IIIA H/V</t>
  </si>
  <si>
    <t>UG-II M/I MIH</t>
  </si>
  <si>
    <t>UG-II MIH</t>
  </si>
  <si>
    <t>UG-II H/V</t>
  </si>
  <si>
    <t>UG-II M/I</t>
  </si>
  <si>
    <t>23-24</t>
  </si>
  <si>
    <t>100,643.22 SF</t>
  </si>
  <si>
    <t>103' 8"</t>
  </si>
  <si>
    <t>30'</t>
  </si>
  <si>
    <t>105'</t>
  </si>
  <si>
    <t>165'</t>
  </si>
  <si>
    <t>136' 8"</t>
  </si>
  <si>
    <t>10'</t>
  </si>
  <si>
    <t>3'-4 1/4" (ref. 141-23(a))</t>
  </si>
  <si>
    <t>30'-9 1/4"</t>
  </si>
  <si>
    <t xml:space="preserve">50,399 / 10,000 = 5 spaces </t>
  </si>
  <si>
    <t>1 per 2 dwelling units = 68 dwelling units /2 =34 spaces</t>
  </si>
  <si>
    <t>38 Spaces</t>
  </si>
  <si>
    <t>38 + 5 = 43 Total Spaces</t>
  </si>
  <si>
    <t>50,399.86 SF</t>
  </si>
  <si>
    <t xml:space="preserve">50,243.37 SF </t>
  </si>
  <si>
    <t>4H</t>
  </si>
  <si>
    <t>5L</t>
  </si>
  <si>
    <t>5H</t>
  </si>
  <si>
    <t>6L</t>
  </si>
  <si>
    <t>7L</t>
  </si>
  <si>
    <t>9H</t>
  </si>
  <si>
    <t>10H</t>
  </si>
  <si>
    <t>11H</t>
  </si>
  <si>
    <t>12D</t>
  </si>
  <si>
    <t>13D</t>
  </si>
  <si>
    <t>3L</t>
  </si>
  <si>
    <t>4E</t>
  </si>
  <si>
    <t>5E</t>
  </si>
  <si>
    <t>6E</t>
  </si>
  <si>
    <t>7E</t>
  </si>
  <si>
    <t>8E</t>
  </si>
  <si>
    <t>9E</t>
  </si>
  <si>
    <t>10E</t>
  </si>
  <si>
    <t>11E</t>
  </si>
  <si>
    <t>9A</t>
  </si>
  <si>
    <t>7A</t>
  </si>
  <si>
    <t>10A</t>
  </si>
  <si>
    <t>13F</t>
  </si>
  <si>
    <t>14B</t>
  </si>
  <si>
    <t>12F</t>
  </si>
  <si>
    <t>14G</t>
  </si>
  <si>
    <t>0 BR</t>
  </si>
  <si>
    <t>1 BR</t>
  </si>
  <si>
    <t>TOTAL NET SF</t>
  </si>
  <si>
    <t>SUPERS NOT INCLUDED</t>
  </si>
  <si>
    <t>UG II NON MIH</t>
  </si>
  <si>
    <t>UNIT 12C</t>
  </si>
  <si>
    <t>UNIT 11C</t>
  </si>
  <si>
    <t>UNIT 11D</t>
  </si>
  <si>
    <t>UNIT 11F</t>
  </si>
  <si>
    <t>UNIT 11G</t>
  </si>
  <si>
    <t>UNIT 11J</t>
  </si>
  <si>
    <t>UNIT 11K</t>
  </si>
  <si>
    <t>UNIT 11M</t>
  </si>
  <si>
    <t>UNIT 11N</t>
  </si>
  <si>
    <t>UNIT 11P</t>
  </si>
  <si>
    <t>UNIT 10C</t>
  </si>
  <si>
    <t>UNIT 10D</t>
  </si>
  <si>
    <t>UNIT 10F</t>
  </si>
  <si>
    <t>UNIT 10G</t>
  </si>
  <si>
    <t>UNIT 10J</t>
  </si>
  <si>
    <t>UNIT 10K</t>
  </si>
  <si>
    <t>UNIT 10M</t>
  </si>
  <si>
    <t>UNIT 10N</t>
  </si>
  <si>
    <t>UNIT 10P</t>
  </si>
  <si>
    <t>UNIT 9C</t>
  </si>
  <si>
    <t>UNIT 9D</t>
  </si>
  <si>
    <t>UNIT 9F</t>
  </si>
  <si>
    <t>UNIT 9G</t>
  </si>
  <si>
    <t>UNIT 9J</t>
  </si>
  <si>
    <t>UNIT 9K</t>
  </si>
  <si>
    <t>UNIT 9M</t>
  </si>
  <si>
    <t>UNIT 9N</t>
  </si>
  <si>
    <t>UNIT 9P</t>
  </si>
  <si>
    <t>UNIT 8C</t>
  </si>
  <si>
    <t>UNIT 8D</t>
  </si>
  <si>
    <t>UNIT 8F</t>
  </si>
  <si>
    <t>UNIT 8G</t>
  </si>
  <si>
    <t>UNIT 8J</t>
  </si>
  <si>
    <t>UNIT 8K</t>
  </si>
  <si>
    <t>UNIT 8M</t>
  </si>
  <si>
    <t>UNIT 8N</t>
  </si>
  <si>
    <t>UNIT 8P</t>
  </si>
  <si>
    <t>UNIT 7C</t>
  </si>
  <si>
    <t>UNIT 7D</t>
  </si>
  <si>
    <t>UNIT 7F</t>
  </si>
  <si>
    <t>UNIT 7G</t>
  </si>
  <si>
    <t>UNIT 7J</t>
  </si>
  <si>
    <t>UNIT 7K</t>
  </si>
  <si>
    <t>UNIT 7M</t>
  </si>
  <si>
    <t>UNIT 7N</t>
  </si>
  <si>
    <t>UNIT 7P</t>
  </si>
  <si>
    <t>UNIT 6C</t>
  </si>
  <si>
    <t>UNIT 6D</t>
  </si>
  <si>
    <t>UNIT 6F</t>
  </si>
  <si>
    <t>UNIT 6G</t>
  </si>
  <si>
    <t>UNIT 6J</t>
  </si>
  <si>
    <t>UNIT 6K</t>
  </si>
  <si>
    <t>UNIT 6M</t>
  </si>
  <si>
    <t>UNIT 6N</t>
  </si>
  <si>
    <t>UNIT 6P</t>
  </si>
  <si>
    <t>UNIT 5K</t>
  </si>
  <si>
    <t>UNIT 5J</t>
  </si>
  <si>
    <t>UNIT 5G</t>
  </si>
  <si>
    <t>UNIT 5F</t>
  </si>
  <si>
    <t>UNIT 5D</t>
  </si>
  <si>
    <t>UNIT 5C</t>
  </si>
  <si>
    <t>UNIT 5B</t>
  </si>
  <si>
    <t>UNIT 5A</t>
  </si>
  <si>
    <t>UNIT 4K</t>
  </si>
  <si>
    <t>UNIT 4J</t>
  </si>
  <si>
    <t>UNIT 4G</t>
  </si>
  <si>
    <t>UNIT 4F</t>
  </si>
  <si>
    <t>UNIT 4D</t>
  </si>
  <si>
    <t>UNIT 4C</t>
  </si>
  <si>
    <t>UNIT 4B</t>
  </si>
  <si>
    <t>UNIT 4A</t>
  </si>
  <si>
    <t>UNIT 3K</t>
  </si>
  <si>
    <t>UNIT 3J</t>
  </si>
  <si>
    <t>UNIT 3H</t>
  </si>
  <si>
    <t>UNIT 3G</t>
  </si>
  <si>
    <t>UNIT 3F</t>
  </si>
  <si>
    <t>UNIT 3D</t>
  </si>
  <si>
    <t>UNIT 3C</t>
  </si>
  <si>
    <t>UNIT 3R</t>
  </si>
  <si>
    <t>UNIT 3Q</t>
  </si>
  <si>
    <t>UNIT 3P</t>
  </si>
  <si>
    <t>UNIT 3N</t>
  </si>
  <si>
    <t>UNIT 2K</t>
  </si>
  <si>
    <t>UNIT 2J</t>
  </si>
  <si>
    <t>UNIT 2H</t>
  </si>
  <si>
    <t>UNIT 2G</t>
  </si>
  <si>
    <t>UNIT 2F</t>
  </si>
  <si>
    <t>UNIT 2E</t>
  </si>
  <si>
    <t>UNIT 2D</t>
  </si>
  <si>
    <t>UNIT 2C</t>
  </si>
  <si>
    <t>UNIT 2R</t>
  </si>
  <si>
    <t>UNIT 2Q</t>
  </si>
  <si>
    <t>UNIT 2P</t>
  </si>
  <si>
    <t>UNIT 2N</t>
  </si>
  <si>
    <t>UNIT 1N</t>
  </si>
  <si>
    <t>UNIT 1M</t>
  </si>
  <si>
    <t>UNIT 1L</t>
  </si>
  <si>
    <t>UNIT 1K</t>
  </si>
  <si>
    <t>UNIT 1J</t>
  </si>
  <si>
    <t>UNIT 1H</t>
  </si>
  <si>
    <t>UNIT 1G</t>
  </si>
  <si>
    <t>UNIT 1D</t>
  </si>
  <si>
    <t>UNIT 1C</t>
  </si>
  <si>
    <t>UNIT 1B</t>
  </si>
  <si>
    <t>UNIT 1A</t>
  </si>
  <si>
    <t>UGIIIA NET AREAS</t>
  </si>
  <si>
    <t>8H</t>
  </si>
  <si>
    <t>11L</t>
  </si>
  <si>
    <t>13B</t>
  </si>
  <si>
    <t>6H</t>
  </si>
  <si>
    <t>grand total non mih ug ii</t>
  </si>
  <si>
    <t>11A</t>
  </si>
  <si>
    <t>100,643 SF - 50,399 SF(UG IIIA)=50244 SF (UG II)</t>
  </si>
  <si>
    <t>(100,643 SF - 50,399 SF) / 680 = 74</t>
  </si>
  <si>
    <t>3 &amp; 7   (Existing tax lots 3 &amp; 7 are combined into one zoning lot &amp; one tax lot)</t>
  </si>
  <si>
    <t>UG's II, IIIA</t>
  </si>
  <si>
    <t>141-04 / 35-31 / 
23-154 (b) &amp; (d)(2)</t>
  </si>
  <si>
    <t>Max. FAR w/ Low income floor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</si>
</sst>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43" formatCode="_(* #,##0.00_);_(* \(#,##0.00\);_(* &quot;-&quot;??_);_(@_)"/>
    <numFmt numFmtId="164" formatCode="_(* #,##0_);_(* \(#,##0\);_(* &quot;-&quot;??_);_(@_)"/>
    <numFmt numFmtId="165" formatCode="0,000\ &quot;SF&quot;"/>
    <numFmt numFmtId="166" formatCode="0.0"/>
    <numFmt numFmtId="167" formatCode="0,000\ &quot;Gross SF&quot;"/>
    <numFmt numFmtId="168" formatCode="&quot;Max&quot;\ 000\ &quot;DUs&quot;"/>
    <numFmt numFmtId="169" formatCode="000\ &quot;complies&quot;"/>
    <numFmt numFmtId="170" formatCode="00\ &quot;spaces&quot;"/>
    <numFmt numFmtId="171" formatCode="0.0%"/>
    <numFmt numFmtId="172" formatCode="000\ &quot;Min SF&quot;"/>
    <numFmt numFmtId="173" formatCode="00\ &quot;units if no medical treatment&quot;"/>
    <numFmt numFmtId="174" formatCode="000\ &quot;units if no medical treatment&quot;"/>
    <numFmt numFmtId="175" formatCode="#\ &quot;UG2 DU's&quot;"/>
    <numFmt numFmtId="176" formatCode="#\ &quot;spaces&quot;"/>
    <numFmt numFmtId="177" formatCode="#,##0.00&quot;'&quot;"/>
    <numFmt numFmtId="178" formatCode="0\ &quot;Stories&quot;"/>
    <numFmt numFmtId="179" formatCode="#,##0.0000000000"/>
    <numFmt numFmtId="180" formatCode="0.00000000000000"/>
    <numFmt numFmtId="181" formatCode="0.00\ &quot;FT.&quot;"/>
    <numFmt numFmtId="182" formatCode="0.00\ &quot;SF&quot;"/>
    <numFmt numFmtId="183" formatCode="#,##0.0000"/>
    <numFmt numFmtId="184" formatCode="#,##0.00000"/>
    <numFmt numFmtId="185" formatCode="#,##0.00000000000"/>
    <numFmt numFmtId="186" formatCode="#,###.00\ &quot;SF&quot;"/>
    <numFmt numFmtId="187" formatCode="#,##0.00\ &quot;SF&quot;"/>
    <numFmt numFmtId="188" formatCode="&quot;Total SA: &quot;\ #\ &quot;SF&quot;"/>
    <numFmt numFmtId="189" formatCode="&quot;Proj./Recess SA: &quot;\ #\ &quot;SF&quot;"/>
    <numFmt numFmtId="190" formatCode="#,##0.0"/>
    <numFmt numFmtId="191" formatCode="&quot;Lobby Width:&quot;\ #,##0.00&quot;'&quot;"/>
    <numFmt numFmtId="192" formatCode="&quot;Depth Provided:&quot;\ #,##0.00&quot;'&quot;"/>
    <numFmt numFmtId="193" formatCode="#,###\ &quot;SF&quot;"/>
    <numFmt numFmtId="194" formatCode="#,##0.000"/>
  </numFmts>
  <fonts count="36">
    <font>
      <sz val="11"/>
      <color rgb="FF000000"/>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8"/>
      <name val="Arial"/>
      <family val="2"/>
    </font>
    <font>
      <sz val="11"/>
      <name val="Calibri"/>
      <family val="2"/>
    </font>
    <font>
      <sz val="8"/>
      <color rgb="FFFF0000"/>
      <name val="Arial"/>
      <family val="2"/>
    </font>
    <font>
      <b/>
      <i/>
      <sz val="8"/>
      <name val="Arial"/>
      <family val="2"/>
    </font>
    <font>
      <i/>
      <sz val="8"/>
      <name val="Arial"/>
      <family val="2"/>
    </font>
    <font>
      <sz val="11"/>
      <name val="Arial"/>
      <family val="2"/>
    </font>
    <font>
      <sz val="8"/>
      <color rgb="FF7F7F7F"/>
      <name val="Arial"/>
      <family val="2"/>
    </font>
    <font>
      <sz val="11"/>
      <color rgb="FF000000"/>
      <name val="Calibri"/>
      <family val="2"/>
      <scheme val="minor"/>
    </font>
    <font>
      <sz val="8"/>
      <color rgb="FF000000"/>
      <name val="Arial"/>
      <family val="2"/>
    </font>
    <font>
      <b/>
      <sz val="11"/>
      <color rgb="FF000000"/>
      <name val="Calibri"/>
      <family val="2"/>
      <scheme val="minor"/>
    </font>
    <font>
      <b/>
      <u/>
      <sz val="8"/>
      <name val="Arial"/>
      <family val="2"/>
    </font>
    <font>
      <sz val="10"/>
      <name val="Arial"/>
      <family val="2"/>
    </font>
    <font>
      <b/>
      <sz val="11"/>
      <color theme="1"/>
      <name val="Arial"/>
      <family val="2"/>
    </font>
    <font>
      <sz val="11"/>
      <color theme="1"/>
      <name val="Arial"/>
      <family val="2"/>
    </font>
    <font>
      <b/>
      <sz val="14"/>
      <name val="Arial"/>
      <family val="2"/>
    </font>
    <font>
      <b/>
      <sz val="14"/>
      <color theme="1"/>
      <name val="Arial"/>
      <family val="2"/>
    </font>
    <font>
      <sz val="20"/>
      <color theme="1"/>
      <name val="Arial"/>
      <family val="2"/>
    </font>
    <font>
      <sz val="11"/>
      <color theme="1"/>
      <name val="Arial Narrow"/>
      <family val="2"/>
    </font>
    <font>
      <i/>
      <sz val="9"/>
      <color theme="1"/>
      <name val="Arial Narrow"/>
      <family val="2"/>
    </font>
    <font>
      <b/>
      <u/>
      <sz val="11"/>
      <color theme="1"/>
      <name val="Arial Narrow"/>
      <family val="2"/>
    </font>
    <font>
      <sz val="11"/>
      <color theme="1" tint="0.499984740745262"/>
      <name val="Arial"/>
      <family val="2"/>
    </font>
    <font>
      <sz val="11"/>
      <color rgb="FFFF0000"/>
      <name val="Arial Narrow"/>
      <family val="2"/>
    </font>
    <font>
      <b/>
      <sz val="11"/>
      <color theme="1"/>
      <name val="Calibri"/>
      <family val="2"/>
      <scheme val="minor"/>
    </font>
    <font>
      <sz val="12"/>
      <color rgb="FF000118"/>
      <name val="Nunito Sans"/>
    </font>
    <font>
      <sz val="12"/>
      <color rgb="FF000118"/>
      <name val="Calibri"/>
      <family val="2"/>
      <scheme val="minor"/>
    </font>
    <font>
      <sz val="10"/>
      <color theme="1"/>
      <name val="Arial"/>
      <family val="2"/>
    </font>
    <font>
      <sz val="10"/>
      <name val="Futura Lt BT"/>
      <family val="2"/>
    </font>
  </fonts>
  <fills count="26">
    <fill>
      <patternFill patternType="none"/>
    </fill>
    <fill>
      <patternFill patternType="gray125"/>
    </fill>
    <fill>
      <patternFill patternType="solid">
        <fgColor rgb="FFD8D8D8"/>
        <bgColor rgb="FFD8D8D8"/>
      </patternFill>
    </fill>
    <fill>
      <patternFill patternType="solid">
        <fgColor rgb="FFFFF2CC"/>
        <bgColor rgb="FFFFF2CC"/>
      </patternFill>
    </fill>
    <fill>
      <patternFill patternType="solid">
        <fgColor rgb="FFF2F2F2"/>
        <bgColor rgb="FFF2F2F2"/>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5"/>
        <bgColor indexed="64"/>
      </patternFill>
    </fill>
    <fill>
      <patternFill patternType="solid">
        <fgColor theme="5" tint="0.79998168889431442"/>
        <bgColor indexed="64"/>
      </patternFill>
    </fill>
    <fill>
      <patternFill patternType="solid">
        <fgColor theme="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rgb="FF00B050"/>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EBFF"/>
        <bgColor indexed="64"/>
      </patternFill>
    </fill>
    <fill>
      <patternFill patternType="solid">
        <fgColor theme="9" tint="0.59999389629810485"/>
        <bgColor indexed="64"/>
      </patternFill>
    </fill>
    <fill>
      <patternFill patternType="solid">
        <fgColor rgb="FFFF0000"/>
        <bgColor indexed="64"/>
      </patternFill>
    </fill>
    <fill>
      <patternFill patternType="solid">
        <fgColor theme="9" tint="-0.249977111117893"/>
        <bgColor indexed="64"/>
      </patternFill>
    </fill>
    <fill>
      <patternFill patternType="solid">
        <fgColor theme="8" tint="0.59999389629810485"/>
        <bgColor indexed="64"/>
      </patternFill>
    </fill>
    <fill>
      <patternFill patternType="solid">
        <fgColor rgb="FFFFFFCC"/>
        <bgColor indexed="64"/>
      </patternFill>
    </fill>
  </fills>
  <borders count="45">
    <border>
      <left/>
      <right/>
      <top/>
      <bottom/>
      <diagonal/>
    </border>
    <border>
      <left/>
      <right/>
      <top/>
      <bottom/>
      <diagonal/>
    </border>
    <border>
      <left/>
      <right/>
      <top style="thin">
        <color rgb="FF000000"/>
      </top>
      <bottom/>
      <diagonal/>
    </border>
    <border>
      <left/>
      <right/>
      <top/>
      <bottom style="medium">
        <color rgb="FF000000"/>
      </bottom>
      <diagonal/>
    </border>
    <border>
      <left/>
      <right/>
      <top/>
      <bottom style="thin">
        <color rgb="FF000000"/>
      </bottom>
      <diagonal/>
    </border>
    <border>
      <left/>
      <right/>
      <top style="medium">
        <color rgb="FF000000"/>
      </top>
      <bottom/>
      <diagonal/>
    </border>
    <border>
      <left/>
      <right/>
      <top style="thin">
        <color indexed="64"/>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medium">
        <color indexed="64"/>
      </bottom>
      <diagonal/>
    </border>
    <border>
      <left/>
      <right style="thin">
        <color auto="1"/>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s>
  <cellStyleXfs count="14">
    <xf numFmtId="0" fontId="0" fillId="0" borderId="0"/>
    <xf numFmtId="0" fontId="7" fillId="0" borderId="1"/>
    <xf numFmtId="43" fontId="7" fillId="0" borderId="1" applyFont="0" applyFill="0" applyBorder="0" applyAlignment="0" applyProtection="0"/>
    <xf numFmtId="9" fontId="7" fillId="0" borderId="1" applyFont="0" applyFill="0" applyBorder="0" applyAlignment="0" applyProtection="0"/>
    <xf numFmtId="0" fontId="20" fillId="0" borderId="1"/>
    <xf numFmtId="43" fontId="20" fillId="0" borderId="1" applyFont="0" applyFill="0" applyBorder="0" applyAlignment="0" applyProtection="0"/>
    <xf numFmtId="0" fontId="6" fillId="0" borderId="1"/>
    <xf numFmtId="9" fontId="6" fillId="0" borderId="1" applyFont="0" applyFill="0" applyBorder="0" applyAlignment="0" applyProtection="0"/>
    <xf numFmtId="43" fontId="6" fillId="0" borderId="1" applyFont="0" applyFill="0" applyBorder="0" applyAlignment="0" applyProtection="0"/>
    <xf numFmtId="0" fontId="5" fillId="0" borderId="1"/>
    <xf numFmtId="0" fontId="16" fillId="0" borderId="1"/>
    <xf numFmtId="9" fontId="16" fillId="0" borderId="1" applyFont="0" applyFill="0" applyBorder="0" applyAlignment="0" applyProtection="0"/>
    <xf numFmtId="43" fontId="16" fillId="0" borderId="1" applyFont="0" applyFill="0" applyBorder="0" applyAlignment="0" applyProtection="0"/>
    <xf numFmtId="0" fontId="1" fillId="0" borderId="1"/>
  </cellStyleXfs>
  <cellXfs count="417">
    <xf numFmtId="0" fontId="0" fillId="0" borderId="0" xfId="0"/>
    <xf numFmtId="0" fontId="0" fillId="0" borderId="1" xfId="0" applyBorder="1"/>
    <xf numFmtId="0" fontId="18" fillId="0" borderId="0" xfId="0" applyFont="1"/>
    <xf numFmtId="0" fontId="16" fillId="0" borderId="0" xfId="0" applyFont="1"/>
    <xf numFmtId="0" fontId="7" fillId="0" borderId="1" xfId="1"/>
    <xf numFmtId="0" fontId="22" fillId="0" borderId="1" xfId="1" applyFont="1"/>
    <xf numFmtId="182" fontId="22" fillId="0" borderId="1" xfId="1" applyNumberFormat="1" applyFont="1"/>
    <xf numFmtId="182" fontId="22" fillId="0" borderId="23" xfId="1" applyNumberFormat="1" applyFont="1" applyBorder="1"/>
    <xf numFmtId="0" fontId="21" fillId="0" borderId="1" xfId="1" applyFont="1"/>
    <xf numFmtId="182" fontId="22" fillId="0" borderId="1" xfId="1" applyNumberFormat="1" applyFont="1" applyAlignment="1">
      <alignment horizontal="left" vertical="top"/>
    </xf>
    <xf numFmtId="0" fontId="22" fillId="0" borderId="1" xfId="1" applyFont="1" applyAlignment="1">
      <alignment horizontal="center"/>
    </xf>
    <xf numFmtId="0" fontId="22" fillId="0" borderId="1" xfId="1" applyFont="1" applyAlignment="1">
      <alignment horizontal="left"/>
    </xf>
    <xf numFmtId="2" fontId="22" fillId="0" borderId="1" xfId="1" applyNumberFormat="1" applyFont="1"/>
    <xf numFmtId="0" fontId="25" fillId="0" borderId="1" xfId="1" applyFont="1" applyAlignment="1">
      <alignment vertical="center"/>
    </xf>
    <xf numFmtId="0" fontId="26" fillId="0" borderId="1" xfId="6" applyFont="1"/>
    <xf numFmtId="0" fontId="26" fillId="12" borderId="1" xfId="6" applyFont="1" applyFill="1"/>
    <xf numFmtId="0" fontId="26" fillId="13" borderId="1" xfId="6" applyFont="1" applyFill="1"/>
    <xf numFmtId="186" fontId="26" fillId="0" borderId="1" xfId="6" applyNumberFormat="1" applyFont="1"/>
    <xf numFmtId="0" fontId="26" fillId="0" borderId="1" xfId="6" applyFont="1" applyAlignment="1">
      <alignment horizontal="left"/>
    </xf>
    <xf numFmtId="179" fontId="26" fillId="0" borderId="1" xfId="6" applyNumberFormat="1" applyFont="1"/>
    <xf numFmtId="1" fontId="26" fillId="0" borderId="1" xfId="6" applyNumberFormat="1" applyFont="1" applyAlignment="1">
      <alignment horizontal="center" vertical="center"/>
    </xf>
    <xf numFmtId="4" fontId="26" fillId="0" borderId="1" xfId="6" applyNumberFormat="1" applyFont="1"/>
    <xf numFmtId="190" fontId="26" fillId="0" borderId="1" xfId="6" applyNumberFormat="1" applyFont="1"/>
    <xf numFmtId="1" fontId="26" fillId="0" borderId="1" xfId="6" applyNumberFormat="1" applyFont="1"/>
    <xf numFmtId="9" fontId="26" fillId="0" borderId="1" xfId="7" applyFont="1"/>
    <xf numFmtId="187" fontId="26" fillId="0" borderId="1" xfId="6" applyNumberFormat="1" applyFont="1"/>
    <xf numFmtId="1" fontId="27" fillId="0" borderId="1" xfId="6" applyNumberFormat="1" applyFont="1"/>
    <xf numFmtId="0" fontId="27" fillId="0" borderId="1" xfId="6" applyFont="1"/>
    <xf numFmtId="0" fontId="26" fillId="0" borderId="1" xfId="6" applyFont="1" applyAlignment="1">
      <alignment horizontal="right"/>
    </xf>
    <xf numFmtId="194" fontId="26" fillId="0" borderId="1" xfId="6" applyNumberFormat="1" applyFont="1"/>
    <xf numFmtId="10" fontId="26" fillId="0" borderId="1" xfId="6" applyNumberFormat="1" applyFont="1"/>
    <xf numFmtId="1" fontId="28" fillId="0" borderId="1" xfId="6" applyNumberFormat="1" applyFont="1"/>
    <xf numFmtId="0" fontId="28" fillId="0" borderId="1" xfId="6" applyFont="1"/>
    <xf numFmtId="185" fontId="26" fillId="0" borderId="1" xfId="6" applyNumberFormat="1" applyFont="1"/>
    <xf numFmtId="183" fontId="26" fillId="0" borderId="1" xfId="6" applyNumberFormat="1" applyFont="1"/>
    <xf numFmtId="43" fontId="21" fillId="0" borderId="1" xfId="8" applyFont="1" applyBorder="1"/>
    <xf numFmtId="43" fontId="14" fillId="0" borderId="1" xfId="8" applyFont="1" applyBorder="1" applyAlignment="1">
      <alignment horizontal="right"/>
    </xf>
    <xf numFmtId="43" fontId="29" fillId="0" borderId="1" xfId="8" applyFont="1" applyBorder="1"/>
    <xf numFmtId="43" fontId="22" fillId="0" borderId="1" xfId="8" applyFont="1" applyBorder="1"/>
    <xf numFmtId="184" fontId="26" fillId="0" borderId="1" xfId="6" applyNumberFormat="1" applyFont="1"/>
    <xf numFmtId="9" fontId="21" fillId="0" borderId="32" xfId="8" applyNumberFormat="1" applyFont="1" applyBorder="1" applyAlignment="1">
      <alignment vertical="center"/>
    </xf>
    <xf numFmtId="9" fontId="21" fillId="0" borderId="33" xfId="8" applyNumberFormat="1" applyFont="1" applyBorder="1" applyAlignment="1">
      <alignment vertical="center"/>
    </xf>
    <xf numFmtId="43" fontId="21" fillId="0" borderId="15" xfId="8" applyFont="1" applyBorder="1"/>
    <xf numFmtId="0" fontId="22" fillId="0" borderId="12" xfId="6" applyFont="1" applyBorder="1" applyAlignment="1">
      <alignment wrapText="1"/>
    </xf>
    <xf numFmtId="0" fontId="22" fillId="0" borderId="1" xfId="6" applyFont="1"/>
    <xf numFmtId="4" fontId="22" fillId="0" borderId="1" xfId="6" applyNumberFormat="1" applyFont="1"/>
    <xf numFmtId="1" fontId="21" fillId="6" borderId="15" xfId="7" applyNumberFormat="1" applyFont="1" applyFill="1" applyBorder="1" applyAlignment="1">
      <alignment vertical="center"/>
    </xf>
    <xf numFmtId="1" fontId="21" fillId="6" borderId="11" xfId="7" applyNumberFormat="1" applyFont="1" applyFill="1" applyBorder="1" applyAlignment="1">
      <alignment vertical="center"/>
    </xf>
    <xf numFmtId="43" fontId="21" fillId="6" borderId="15" xfId="8" applyFont="1" applyFill="1" applyBorder="1"/>
    <xf numFmtId="43" fontId="26" fillId="0" borderId="1" xfId="6" applyNumberFormat="1" applyFont="1"/>
    <xf numFmtId="43" fontId="22" fillId="0" borderId="30" xfId="8" applyFont="1" applyBorder="1"/>
    <xf numFmtId="43" fontId="21" fillId="0" borderId="30" xfId="8" applyFont="1" applyBorder="1"/>
    <xf numFmtId="1" fontId="21" fillId="0" borderId="32" xfId="8" applyNumberFormat="1" applyFont="1" applyBorder="1" applyAlignment="1">
      <alignment vertical="center"/>
    </xf>
    <xf numFmtId="1" fontId="21" fillId="0" borderId="33" xfId="8" applyNumberFormat="1" applyFont="1" applyBorder="1" applyAlignment="1">
      <alignment vertical="center"/>
    </xf>
    <xf numFmtId="187" fontId="21" fillId="8" borderId="32" xfId="8" applyNumberFormat="1" applyFont="1" applyFill="1" applyBorder="1"/>
    <xf numFmtId="187" fontId="29" fillId="9" borderId="33" xfId="8" applyNumberFormat="1" applyFont="1" applyFill="1" applyBorder="1"/>
    <xf numFmtId="187" fontId="22" fillId="0" borderId="32" xfId="8" applyNumberFormat="1" applyFont="1" applyBorder="1"/>
    <xf numFmtId="187" fontId="22" fillId="0" borderId="27" xfId="8" applyNumberFormat="1" applyFont="1" applyBorder="1"/>
    <xf numFmtId="187" fontId="22" fillId="5" borderId="27" xfId="8" applyNumberFormat="1" applyFont="1" applyFill="1" applyBorder="1"/>
    <xf numFmtId="187" fontId="21" fillId="14" borderId="27" xfId="8" applyNumberFormat="1" applyFont="1" applyFill="1" applyBorder="1"/>
    <xf numFmtId="187" fontId="22" fillId="5" borderId="35" xfId="8" applyNumberFormat="1" applyFont="1" applyFill="1" applyBorder="1"/>
    <xf numFmtId="187" fontId="22" fillId="0" borderId="35" xfId="8" applyNumberFormat="1" applyFont="1" applyBorder="1"/>
    <xf numFmtId="187" fontId="21" fillId="5" borderId="27" xfId="8" applyNumberFormat="1" applyFont="1" applyFill="1" applyBorder="1"/>
    <xf numFmtId="43" fontId="21" fillId="0" borderId="32" xfId="8" applyFont="1" applyBorder="1"/>
    <xf numFmtId="1" fontId="21" fillId="0" borderId="15" xfId="8" applyNumberFormat="1" applyFont="1" applyBorder="1" applyAlignment="1">
      <alignment vertical="center"/>
    </xf>
    <xf numFmtId="1" fontId="22" fillId="0" borderId="18" xfId="8" applyNumberFormat="1" applyFont="1" applyBorder="1" applyAlignment="1">
      <alignment vertical="center"/>
    </xf>
    <xf numFmtId="0" fontId="22" fillId="0" borderId="7" xfId="8" applyNumberFormat="1" applyFont="1" applyBorder="1"/>
    <xf numFmtId="0" fontId="22" fillId="0" borderId="39" xfId="8" applyNumberFormat="1" applyFont="1" applyBorder="1"/>
    <xf numFmtId="43" fontId="22" fillId="0" borderId="22" xfId="8" applyFont="1" applyBorder="1"/>
    <xf numFmtId="187" fontId="22" fillId="6" borderId="22" xfId="8" applyNumberFormat="1" applyFont="1" applyFill="1" applyBorder="1"/>
    <xf numFmtId="187" fontId="22" fillId="6" borderId="20" xfId="8" applyNumberFormat="1" applyFont="1" applyFill="1" applyBorder="1"/>
    <xf numFmtId="187" fontId="22" fillId="5" borderId="20" xfId="8" applyNumberFormat="1" applyFont="1" applyFill="1" applyBorder="1"/>
    <xf numFmtId="187" fontId="22" fillId="5" borderId="24" xfId="8" applyNumberFormat="1" applyFont="1" applyFill="1" applyBorder="1"/>
    <xf numFmtId="187" fontId="22" fillId="5" borderId="42" xfId="8" applyNumberFormat="1" applyFont="1" applyFill="1" applyBorder="1"/>
    <xf numFmtId="43" fontId="22" fillId="0" borderId="36" xfId="8" applyFont="1" applyFill="1" applyBorder="1"/>
    <xf numFmtId="1" fontId="21" fillId="6" borderId="38" xfId="8" applyNumberFormat="1" applyFont="1" applyFill="1" applyBorder="1" applyAlignment="1">
      <alignment vertical="center"/>
    </xf>
    <xf numFmtId="1" fontId="22" fillId="6" borderId="23" xfId="8" applyNumberFormat="1" applyFont="1" applyFill="1" applyBorder="1" applyAlignment="1">
      <alignment vertical="center"/>
    </xf>
    <xf numFmtId="0" fontId="22" fillId="6" borderId="7" xfId="8" applyNumberFormat="1" applyFont="1" applyFill="1" applyBorder="1"/>
    <xf numFmtId="0" fontId="22" fillId="6" borderId="39" xfId="8" applyNumberFormat="1" applyFont="1" applyFill="1" applyBorder="1"/>
    <xf numFmtId="43" fontId="22" fillId="6" borderId="22" xfId="8" applyFont="1" applyFill="1" applyBorder="1"/>
    <xf numFmtId="187" fontId="29" fillId="0" borderId="19" xfId="8" applyNumberFormat="1" applyFont="1" applyBorder="1"/>
    <xf numFmtId="187" fontId="29" fillId="0" borderId="20" xfId="8" applyNumberFormat="1" applyFont="1" applyBorder="1"/>
    <xf numFmtId="187" fontId="29" fillId="0" borderId="37" xfId="8" applyNumberFormat="1" applyFont="1" applyBorder="1"/>
    <xf numFmtId="187" fontId="22" fillId="0" borderId="20" xfId="8" applyNumberFormat="1" applyFont="1" applyBorder="1"/>
    <xf numFmtId="187" fontId="22" fillId="12" borderId="22" xfId="8" applyNumberFormat="1" applyFont="1" applyFill="1" applyBorder="1"/>
    <xf numFmtId="43" fontId="22" fillId="0" borderId="22" xfId="8" applyFont="1" applyFill="1" applyBorder="1"/>
    <xf numFmtId="1" fontId="21" fillId="0" borderId="38" xfId="8" applyNumberFormat="1" applyFont="1" applyBorder="1" applyAlignment="1">
      <alignment vertical="center"/>
    </xf>
    <xf numFmtId="187" fontId="22" fillId="0" borderId="22" xfId="8" applyNumberFormat="1" applyFont="1" applyBorder="1"/>
    <xf numFmtId="187" fontId="22" fillId="0" borderId="20" xfId="8" applyNumberFormat="1" applyFont="1" applyFill="1" applyBorder="1"/>
    <xf numFmtId="187" fontId="22" fillId="13" borderId="22" xfId="8" applyNumberFormat="1" applyFont="1" applyFill="1" applyBorder="1"/>
    <xf numFmtId="0" fontId="30" fillId="0" borderId="1" xfId="6" applyFont="1"/>
    <xf numFmtId="187" fontId="14" fillId="6" borderId="22" xfId="8" applyNumberFormat="1" applyFont="1" applyFill="1" applyBorder="1"/>
    <xf numFmtId="187" fontId="14" fillId="6" borderId="20" xfId="8" applyNumberFormat="1" applyFont="1" applyFill="1" applyBorder="1"/>
    <xf numFmtId="187" fontId="14" fillId="5" borderId="20" xfId="8" applyNumberFormat="1" applyFont="1" applyFill="1" applyBorder="1"/>
    <xf numFmtId="1" fontId="22" fillId="0" borderId="23" xfId="8" applyNumberFormat="1" applyFont="1" applyBorder="1" applyAlignment="1">
      <alignment vertical="center"/>
    </xf>
    <xf numFmtId="43" fontId="14" fillId="0" borderId="22" xfId="8" applyFont="1" applyFill="1" applyBorder="1"/>
    <xf numFmtId="1" fontId="21" fillId="0" borderId="38" xfId="8" applyNumberFormat="1" applyFont="1" applyFill="1" applyBorder="1" applyAlignment="1">
      <alignment vertical="center"/>
    </xf>
    <xf numFmtId="1" fontId="22" fillId="0" borderId="23" xfId="8" applyNumberFormat="1" applyFont="1" applyFill="1" applyBorder="1" applyAlignment="1">
      <alignment vertical="center"/>
    </xf>
    <xf numFmtId="0" fontId="22" fillId="0" borderId="7" xfId="8" applyNumberFormat="1" applyFont="1" applyFill="1" applyBorder="1"/>
    <xf numFmtId="0" fontId="22" fillId="0" borderId="39" xfId="8" applyNumberFormat="1" applyFont="1" applyFill="1" applyBorder="1"/>
    <xf numFmtId="43" fontId="22" fillId="0" borderId="22" xfId="8" applyFont="1" applyFill="1" applyBorder="1" applyAlignment="1">
      <alignment horizontal="center"/>
    </xf>
    <xf numFmtId="0" fontId="22" fillId="6" borderId="22" xfId="8" applyNumberFormat="1" applyFont="1" applyFill="1" applyBorder="1" applyAlignment="1">
      <alignment horizontal="center"/>
    </xf>
    <xf numFmtId="0" fontId="22" fillId="0" borderId="22" xfId="8" applyNumberFormat="1" applyFont="1" applyBorder="1" applyAlignment="1">
      <alignment horizontal="center"/>
    </xf>
    <xf numFmtId="187" fontId="22" fillId="0" borderId="22" xfId="8" applyNumberFormat="1" applyFont="1" applyFill="1" applyBorder="1"/>
    <xf numFmtId="1" fontId="22" fillId="6" borderId="38" xfId="8" quotePrefix="1" applyNumberFormat="1" applyFont="1" applyFill="1" applyBorder="1" applyAlignment="1">
      <alignment horizontal="center" vertical="center"/>
    </xf>
    <xf numFmtId="0" fontId="22" fillId="6" borderId="22" xfId="8" applyNumberFormat="1" applyFont="1" applyFill="1" applyBorder="1"/>
    <xf numFmtId="43" fontId="22" fillId="5" borderId="8" xfId="8" applyFont="1" applyFill="1" applyBorder="1"/>
    <xf numFmtId="43" fontId="22" fillId="6" borderId="8" xfId="8" applyFont="1" applyFill="1" applyBorder="1"/>
    <xf numFmtId="43" fontId="22" fillId="5" borderId="9" xfId="8" applyFont="1" applyFill="1" applyBorder="1"/>
    <xf numFmtId="43" fontId="22" fillId="5" borderId="43" xfId="8" applyFont="1" applyFill="1" applyBorder="1"/>
    <xf numFmtId="1" fontId="22" fillId="6" borderId="17" xfId="8" quotePrefix="1" applyNumberFormat="1" applyFont="1" applyFill="1" applyBorder="1" applyAlignment="1">
      <alignment horizontal="center" vertical="center"/>
    </xf>
    <xf numFmtId="43" fontId="22" fillId="5" borderId="16" xfId="8" applyFont="1" applyFill="1" applyBorder="1"/>
    <xf numFmtId="43" fontId="22" fillId="5" borderId="41" xfId="8" applyFont="1" applyFill="1" applyBorder="1"/>
    <xf numFmtId="0" fontId="22" fillId="0" borderId="28" xfId="6" applyFont="1" applyBorder="1" applyAlignment="1">
      <alignment horizontal="center" vertical="center"/>
    </xf>
    <xf numFmtId="0" fontId="22" fillId="0" borderId="10" xfId="6" applyFont="1" applyBorder="1" applyAlignment="1">
      <alignment horizontal="center" vertical="center"/>
    </xf>
    <xf numFmtId="0" fontId="26" fillId="0" borderId="1" xfId="6" applyFont="1" applyAlignment="1">
      <alignment vertical="center"/>
    </xf>
    <xf numFmtId="0" fontId="22" fillId="0" borderId="30" xfId="6" applyFont="1" applyBorder="1" applyAlignment="1">
      <alignment horizontal="center" vertical="center" wrapText="1"/>
    </xf>
    <xf numFmtId="0" fontId="22" fillId="0" borderId="29" xfId="6" applyFont="1" applyBorder="1" applyAlignment="1">
      <alignment horizontal="center" vertical="center" wrapText="1"/>
    </xf>
    <xf numFmtId="0" fontId="22" fillId="0" borderId="30" xfId="6" applyFont="1" applyBorder="1" applyAlignment="1">
      <alignment horizontal="center" wrapText="1"/>
    </xf>
    <xf numFmtId="0" fontId="5" fillId="0" borderId="1" xfId="9"/>
    <xf numFmtId="0" fontId="31" fillId="15" borderId="1" xfId="9" applyFont="1" applyFill="1"/>
    <xf numFmtId="10" fontId="5" fillId="0" borderId="1" xfId="9" applyNumberFormat="1"/>
    <xf numFmtId="9" fontId="31" fillId="15" borderId="1" xfId="9" applyNumberFormat="1" applyFont="1" applyFill="1"/>
    <xf numFmtId="0" fontId="5" fillId="15" borderId="1" xfId="9" applyFill="1"/>
    <xf numFmtId="0" fontId="5" fillId="16" borderId="1" xfId="9" applyFill="1"/>
    <xf numFmtId="0" fontId="5" fillId="17" borderId="1" xfId="9" applyFill="1"/>
    <xf numFmtId="0" fontId="31" fillId="0" borderId="1" xfId="9" applyFont="1"/>
    <xf numFmtId="0" fontId="5" fillId="18" borderId="1" xfId="9" applyFill="1"/>
    <xf numFmtId="0" fontId="5" fillId="19" borderId="1" xfId="9" applyFill="1"/>
    <xf numFmtId="0" fontId="5" fillId="12" borderId="1" xfId="9" applyFill="1" applyAlignment="1">
      <alignment horizontal="center"/>
    </xf>
    <xf numFmtId="0" fontId="5" fillId="12" borderId="1" xfId="9" applyFill="1"/>
    <xf numFmtId="0" fontId="5" fillId="20" borderId="1" xfId="9" applyFill="1"/>
    <xf numFmtId="0" fontId="31" fillId="16" borderId="1" xfId="9" applyFont="1" applyFill="1"/>
    <xf numFmtId="0" fontId="31" fillId="18" borderId="1" xfId="9" applyFont="1" applyFill="1"/>
    <xf numFmtId="0" fontId="5" fillId="21" borderId="1" xfId="9" applyFill="1"/>
    <xf numFmtId="0" fontId="32" fillId="0" borderId="0" xfId="0" applyFont="1"/>
    <xf numFmtId="0" fontId="33" fillId="0" borderId="0" xfId="0" applyFont="1"/>
    <xf numFmtId="0" fontId="5" fillId="8" borderId="1" xfId="9" applyFill="1"/>
    <xf numFmtId="0" fontId="31" fillId="11" borderId="1" xfId="9" applyFont="1" applyFill="1"/>
    <xf numFmtId="0" fontId="4" fillId="0" borderId="1" xfId="9" applyFont="1"/>
    <xf numFmtId="2" fontId="26" fillId="0" borderId="1" xfId="6" applyNumberFormat="1" applyFont="1"/>
    <xf numFmtId="0" fontId="3" fillId="21" borderId="1" xfId="9" applyFont="1" applyFill="1"/>
    <xf numFmtId="0" fontId="3" fillId="23" borderId="1" xfId="9" applyFont="1" applyFill="1"/>
    <xf numFmtId="0" fontId="3" fillId="0" borderId="1" xfId="9" applyFont="1"/>
    <xf numFmtId="10" fontId="3" fillId="0" borderId="1" xfId="9" applyNumberFormat="1" applyFont="1"/>
    <xf numFmtId="0" fontId="31" fillId="24" borderId="1" xfId="9" applyFont="1" applyFill="1"/>
    <xf numFmtId="0" fontId="16" fillId="0" borderId="1" xfId="10"/>
    <xf numFmtId="0" fontId="8" fillId="0" borderId="1" xfId="10" applyFont="1" applyAlignment="1">
      <alignment vertical="top"/>
    </xf>
    <xf numFmtId="0" fontId="8" fillId="0" borderId="1" xfId="10" applyFont="1" applyAlignment="1">
      <alignment horizontal="right" vertical="top" wrapText="1"/>
    </xf>
    <xf numFmtId="0" fontId="8" fillId="0" borderId="1" xfId="10" applyFont="1" applyAlignment="1">
      <alignment vertical="top" wrapText="1"/>
    </xf>
    <xf numFmtId="0" fontId="9" fillId="0" borderId="1" xfId="10" applyFont="1" applyAlignment="1">
      <alignment vertical="top"/>
    </xf>
    <xf numFmtId="3" fontId="8" fillId="0" borderId="1" xfId="10" applyNumberFormat="1" applyFont="1" applyAlignment="1">
      <alignment horizontal="right" vertical="top" wrapText="1"/>
    </xf>
    <xf numFmtId="1" fontId="9" fillId="0" borderId="1" xfId="10" applyNumberFormat="1" applyFont="1" applyAlignment="1">
      <alignment horizontal="right" vertical="top" wrapText="1"/>
    </xf>
    <xf numFmtId="1" fontId="8" fillId="0" borderId="1" xfId="10" applyNumberFormat="1" applyFont="1" applyAlignment="1">
      <alignment vertical="top"/>
    </xf>
    <xf numFmtId="1" fontId="8" fillId="0" borderId="1" xfId="10" applyNumberFormat="1" applyFont="1" applyAlignment="1">
      <alignment horizontal="right" vertical="top" wrapText="1"/>
    </xf>
    <xf numFmtId="9" fontId="8" fillId="0" borderId="1" xfId="10" applyNumberFormat="1" applyFont="1" applyAlignment="1">
      <alignment vertical="top"/>
    </xf>
    <xf numFmtId="0" fontId="13" fillId="0" borderId="1" xfId="10" applyFont="1" applyAlignment="1">
      <alignment horizontal="right" vertical="top" wrapText="1"/>
    </xf>
    <xf numFmtId="0" fontId="13" fillId="0" borderId="1" xfId="10" applyFont="1" applyAlignment="1">
      <alignment vertical="top"/>
    </xf>
    <xf numFmtId="3" fontId="8" fillId="0" borderId="1" xfId="10" applyNumberFormat="1" applyFont="1" applyAlignment="1">
      <alignment horizontal="right" vertical="top"/>
    </xf>
    <xf numFmtId="0" fontId="8" fillId="0" borderId="1" xfId="10" applyFont="1" applyAlignment="1">
      <alignment horizontal="left" vertical="top" wrapText="1"/>
    </xf>
    <xf numFmtId="0" fontId="8" fillId="0" borderId="1" xfId="10" applyFont="1" applyAlignment="1">
      <alignment horizontal="right" vertical="top"/>
    </xf>
    <xf numFmtId="0" fontId="12" fillId="0" borderId="1" xfId="10" applyFont="1" applyAlignment="1">
      <alignment horizontal="right" vertical="top" wrapText="1"/>
    </xf>
    <xf numFmtId="43" fontId="8" fillId="0" borderId="1" xfId="10" applyNumberFormat="1" applyFont="1" applyAlignment="1">
      <alignment horizontal="right" vertical="top"/>
    </xf>
    <xf numFmtId="43" fontId="8" fillId="0" borderId="1" xfId="10" applyNumberFormat="1" applyFont="1" applyAlignment="1">
      <alignment vertical="top"/>
    </xf>
    <xf numFmtId="37" fontId="8" fillId="0" borderId="1" xfId="10" applyNumberFormat="1" applyFont="1" applyAlignment="1">
      <alignment vertical="top"/>
    </xf>
    <xf numFmtId="0" fontId="9" fillId="0" borderId="1" xfId="10" applyFont="1" applyAlignment="1">
      <alignment vertical="top" wrapText="1"/>
    </xf>
    <xf numFmtId="1" fontId="8" fillId="0" borderId="1" xfId="10" applyNumberFormat="1" applyFont="1" applyAlignment="1">
      <alignment horizontal="right" vertical="top"/>
    </xf>
    <xf numFmtId="0" fontId="8" fillId="0" borderId="1" xfId="10" applyFont="1" applyAlignment="1">
      <alignment horizontal="center" vertical="top"/>
    </xf>
    <xf numFmtId="0" fontId="13" fillId="0" borderId="1" xfId="10" applyFont="1" applyAlignment="1">
      <alignment horizontal="right" vertical="top"/>
    </xf>
    <xf numFmtId="3" fontId="8" fillId="0" borderId="1" xfId="10" applyNumberFormat="1" applyFont="1" applyAlignment="1">
      <alignment vertical="top"/>
    </xf>
    <xf numFmtId="164" fontId="8" fillId="0" borderId="1" xfId="10" applyNumberFormat="1" applyFont="1" applyAlignment="1">
      <alignment vertical="top"/>
    </xf>
    <xf numFmtId="164" fontId="9" fillId="0" borderId="1" xfId="10" applyNumberFormat="1" applyFont="1" applyAlignment="1">
      <alignment vertical="top"/>
    </xf>
    <xf numFmtId="0" fontId="9" fillId="0" borderId="1" xfId="10" applyFont="1" applyAlignment="1">
      <alignment horizontal="right" vertical="top"/>
    </xf>
    <xf numFmtId="166" fontId="9" fillId="0" borderId="1" xfId="10" applyNumberFormat="1" applyFont="1" applyAlignment="1">
      <alignment vertical="top"/>
    </xf>
    <xf numFmtId="2" fontId="9" fillId="0" borderId="1" xfId="10" applyNumberFormat="1" applyFont="1" applyAlignment="1">
      <alignment vertical="top"/>
    </xf>
    <xf numFmtId="2" fontId="8" fillId="0" borderId="1" xfId="10" applyNumberFormat="1" applyFont="1" applyAlignment="1">
      <alignment vertical="top"/>
    </xf>
    <xf numFmtId="0" fontId="8" fillId="0" borderId="1" xfId="10" applyFont="1" applyAlignment="1">
      <alignment horizontal="center" vertical="top" wrapText="1"/>
    </xf>
    <xf numFmtId="165" fontId="8" fillId="0" borderId="1" xfId="10" applyNumberFormat="1" applyFont="1" applyAlignment="1">
      <alignment horizontal="left" vertical="top" wrapText="1"/>
    </xf>
    <xf numFmtId="165" fontId="9" fillId="0" borderId="1" xfId="10" applyNumberFormat="1" applyFont="1" applyAlignment="1">
      <alignment horizontal="left" vertical="top" wrapText="1"/>
    </xf>
    <xf numFmtId="1" fontId="8" fillId="0" borderId="1" xfId="10" applyNumberFormat="1" applyFont="1" applyAlignment="1">
      <alignment horizontal="left" vertical="top" wrapText="1"/>
    </xf>
    <xf numFmtId="0" fontId="13" fillId="0" borderId="1" xfId="10" applyFont="1" applyAlignment="1">
      <alignment vertical="top" wrapText="1"/>
    </xf>
    <xf numFmtId="174" fontId="8" fillId="0" borderId="1" xfId="10" applyNumberFormat="1" applyFont="1" applyAlignment="1">
      <alignment horizontal="left" vertical="top"/>
    </xf>
    <xf numFmtId="1" fontId="9" fillId="0" borderId="1" xfId="10" applyNumberFormat="1" applyFont="1" applyAlignment="1">
      <alignment horizontal="left" vertical="top" wrapText="1"/>
    </xf>
    <xf numFmtId="173" fontId="8" fillId="0" borderId="1" xfId="10" applyNumberFormat="1" applyFont="1" applyAlignment="1">
      <alignment horizontal="left" vertical="top"/>
    </xf>
    <xf numFmtId="0" fontId="12" fillId="0" borderId="1" xfId="10" applyFont="1" applyAlignment="1">
      <alignment vertical="top" wrapText="1"/>
    </xf>
    <xf numFmtId="165" fontId="8" fillId="0" borderId="1" xfId="10" applyNumberFormat="1" applyFont="1" applyAlignment="1">
      <alignment horizontal="center" vertical="top" wrapText="1"/>
    </xf>
    <xf numFmtId="0" fontId="13" fillId="0" borderId="1" xfId="10" applyFont="1" applyAlignment="1">
      <alignment horizontal="left" vertical="top" wrapText="1"/>
    </xf>
    <xf numFmtId="0" fontId="16" fillId="0" borderId="1" xfId="10" applyAlignment="1">
      <alignment vertical="center"/>
    </xf>
    <xf numFmtId="0" fontId="8" fillId="0" borderId="1" xfId="10" applyFont="1" applyAlignment="1">
      <alignment vertical="center"/>
    </xf>
    <xf numFmtId="0" fontId="9" fillId="0" borderId="1" xfId="10" applyFont="1" applyAlignment="1">
      <alignment vertical="center"/>
    </xf>
    <xf numFmtId="164" fontId="8" fillId="0" borderId="1" xfId="10" applyNumberFormat="1" applyFont="1" applyAlignment="1">
      <alignment vertical="center"/>
    </xf>
    <xf numFmtId="43" fontId="8" fillId="0" borderId="1" xfId="10" applyNumberFormat="1" applyFont="1" applyAlignment="1">
      <alignment vertical="center"/>
    </xf>
    <xf numFmtId="0" fontId="14" fillId="0" borderId="1" xfId="10" applyFont="1" applyAlignment="1">
      <alignment vertical="center" wrapText="1"/>
    </xf>
    <xf numFmtId="0" fontId="14" fillId="0" borderId="1" xfId="10" applyFont="1" applyAlignment="1">
      <alignment vertical="center"/>
    </xf>
    <xf numFmtId="0" fontId="8" fillId="0" borderId="1" xfId="10" applyFont="1" applyAlignment="1">
      <alignment horizontal="left" vertical="center"/>
    </xf>
    <xf numFmtId="0" fontId="8" fillId="0" borderId="1" xfId="10" applyFont="1" applyAlignment="1">
      <alignment vertical="center" wrapText="1"/>
    </xf>
    <xf numFmtId="0" fontId="8" fillId="0" borderId="1" xfId="10" applyFont="1" applyAlignment="1">
      <alignment horizontal="center" vertical="center" wrapText="1"/>
    </xf>
    <xf numFmtId="0" fontId="12" fillId="0" borderId="1" xfId="10" applyFont="1" applyAlignment="1">
      <alignment horizontal="right" vertical="center" wrapText="1"/>
    </xf>
    <xf numFmtId="0" fontId="8" fillId="0" borderId="1" xfId="10" applyFont="1" applyAlignment="1">
      <alignment horizontal="left" vertical="center" wrapText="1"/>
    </xf>
    <xf numFmtId="165" fontId="9" fillId="0" borderId="1" xfId="10" applyNumberFormat="1" applyFont="1" applyAlignment="1">
      <alignment horizontal="left" vertical="center" wrapText="1"/>
    </xf>
    <xf numFmtId="0" fontId="9" fillId="0" borderId="1" xfId="10" applyFont="1" applyAlignment="1">
      <alignment vertical="center" wrapText="1"/>
    </xf>
    <xf numFmtId="0" fontId="12" fillId="0" borderId="1" xfId="10" applyFont="1" applyAlignment="1">
      <alignment vertical="center" wrapText="1"/>
    </xf>
    <xf numFmtId="1" fontId="12" fillId="0" borderId="1" xfId="10" applyNumberFormat="1" applyFont="1" applyAlignment="1">
      <alignment horizontal="right" vertical="center" wrapText="1"/>
    </xf>
    <xf numFmtId="1" fontId="8" fillId="0" borderId="1" xfId="10" applyNumberFormat="1" applyFont="1" applyAlignment="1">
      <alignment vertical="center" wrapText="1"/>
    </xf>
    <xf numFmtId="9" fontId="9" fillId="0" borderId="1" xfId="10" applyNumberFormat="1" applyFont="1" applyAlignment="1">
      <alignment vertical="center" wrapText="1"/>
    </xf>
    <xf numFmtId="1" fontId="9" fillId="0" borderId="1" xfId="10" applyNumberFormat="1" applyFont="1" applyAlignment="1">
      <alignment horizontal="left" vertical="center" wrapText="1"/>
    </xf>
    <xf numFmtId="1" fontId="13" fillId="0" borderId="1" xfId="10" applyNumberFormat="1" applyFont="1" applyAlignment="1">
      <alignment horizontal="right" vertical="center" wrapText="1"/>
    </xf>
    <xf numFmtId="9" fontId="13" fillId="0" borderId="1" xfId="10" applyNumberFormat="1" applyFont="1" applyAlignment="1">
      <alignment horizontal="right" vertical="center" wrapText="1"/>
    </xf>
    <xf numFmtId="1" fontId="8" fillId="0" borderId="1" xfId="10" applyNumberFormat="1" applyFont="1" applyAlignment="1">
      <alignment horizontal="right" vertical="center" wrapText="1"/>
    </xf>
    <xf numFmtId="9" fontId="8" fillId="0" borderId="1" xfId="10" applyNumberFormat="1" applyFont="1" applyAlignment="1">
      <alignment vertical="center" wrapText="1"/>
    </xf>
    <xf numFmtId="172" fontId="15" fillId="0" borderId="1" xfId="10" applyNumberFormat="1" applyFont="1" applyAlignment="1">
      <alignment horizontal="left" vertical="center" wrapText="1"/>
    </xf>
    <xf numFmtId="1" fontId="8" fillId="0" borderId="1" xfId="10" applyNumberFormat="1" applyFont="1" applyAlignment="1">
      <alignment horizontal="left" vertical="center"/>
    </xf>
    <xf numFmtId="9" fontId="15" fillId="0" borderId="1" xfId="10" applyNumberFormat="1" applyFont="1" applyAlignment="1">
      <alignment horizontal="left" vertical="center"/>
    </xf>
    <xf numFmtId="0" fontId="8" fillId="0" borderId="1" xfId="10" applyFont="1" applyAlignment="1">
      <alignment horizontal="right" vertical="center" wrapText="1"/>
    </xf>
    <xf numFmtId="1" fontId="8" fillId="0" borderId="1" xfId="10" applyNumberFormat="1" applyFont="1" applyAlignment="1">
      <alignment horizontal="left" vertical="center" wrapText="1"/>
    </xf>
    <xf numFmtId="0" fontId="12" fillId="0" borderId="1" xfId="10" applyFont="1" applyAlignment="1">
      <alignment vertical="center" textRotation="90" wrapText="1"/>
    </xf>
    <xf numFmtId="0" fontId="8" fillId="3" borderId="4" xfId="10" applyFont="1" applyFill="1" applyBorder="1" applyAlignment="1">
      <alignment vertical="center"/>
    </xf>
    <xf numFmtId="1" fontId="9" fillId="3" borderId="4" xfId="10" applyNumberFormat="1" applyFont="1" applyFill="1" applyBorder="1" applyAlignment="1">
      <alignment horizontal="left" vertical="center" wrapText="1"/>
    </xf>
    <xf numFmtId="9" fontId="9" fillId="3" borderId="4" xfId="11" applyFont="1" applyFill="1" applyBorder="1" applyAlignment="1">
      <alignment horizontal="left" vertical="center" wrapText="1"/>
    </xf>
    <xf numFmtId="0" fontId="9" fillId="3" borderId="4" xfId="10" applyFont="1" applyFill="1" applyBorder="1" applyAlignment="1">
      <alignment vertical="center" wrapText="1"/>
    </xf>
    <xf numFmtId="0" fontId="10" fillId="0" borderId="4" xfId="10" applyFont="1" applyBorder="1" applyAlignment="1">
      <alignment vertical="center"/>
    </xf>
    <xf numFmtId="171" fontId="9" fillId="0" borderId="1" xfId="10" applyNumberFormat="1" applyFont="1" applyAlignment="1">
      <alignment vertical="center" wrapText="1"/>
    </xf>
    <xf numFmtId="172" fontId="15" fillId="3" borderId="10" xfId="10" applyNumberFormat="1" applyFont="1" applyFill="1" applyBorder="1" applyAlignment="1">
      <alignment horizontal="left" vertical="center" wrapText="1"/>
    </xf>
    <xf numFmtId="1" fontId="8" fillId="3" borderId="10" xfId="10" applyNumberFormat="1" applyFont="1" applyFill="1" applyBorder="1" applyAlignment="1">
      <alignment horizontal="left" vertical="center"/>
    </xf>
    <xf numFmtId="171" fontId="15" fillId="3" borderId="10" xfId="10" applyNumberFormat="1" applyFont="1" applyFill="1" applyBorder="1" applyAlignment="1">
      <alignment horizontal="left" vertical="center"/>
    </xf>
    <xf numFmtId="0" fontId="8" fillId="3" borderId="10" xfId="10" applyFont="1" applyFill="1" applyBorder="1" applyAlignment="1">
      <alignment vertical="center" wrapText="1"/>
    </xf>
    <xf numFmtId="43" fontId="8" fillId="0" borderId="1" xfId="12" applyFont="1" applyAlignment="1">
      <alignment vertical="center" wrapText="1"/>
    </xf>
    <xf numFmtId="172" fontId="15" fillId="3" borderId="1" xfId="10" applyNumberFormat="1" applyFont="1" applyFill="1" applyAlignment="1">
      <alignment horizontal="left" vertical="center" wrapText="1"/>
    </xf>
    <xf numFmtId="1" fontId="8" fillId="3" borderId="1" xfId="10" applyNumberFormat="1" applyFont="1" applyFill="1" applyAlignment="1">
      <alignment horizontal="left" vertical="center"/>
    </xf>
    <xf numFmtId="171" fontId="15" fillId="3" borderId="1" xfId="10" applyNumberFormat="1" applyFont="1" applyFill="1" applyAlignment="1">
      <alignment horizontal="left" vertical="center"/>
    </xf>
    <xf numFmtId="0" fontId="8" fillId="3" borderId="1" xfId="10" applyFont="1" applyFill="1" applyAlignment="1">
      <alignment vertical="center" wrapText="1"/>
    </xf>
    <xf numFmtId="1" fontId="8" fillId="3" borderId="1" xfId="10" applyNumberFormat="1" applyFont="1" applyFill="1" applyAlignment="1">
      <alignment horizontal="left" vertical="center" wrapText="1"/>
    </xf>
    <xf numFmtId="0" fontId="8" fillId="3" borderId="1" xfId="10" applyFont="1" applyFill="1" applyAlignment="1">
      <alignment horizontal="right" vertical="center"/>
    </xf>
    <xf numFmtId="165" fontId="9" fillId="3" borderId="1" xfId="10" applyNumberFormat="1" applyFont="1" applyFill="1" applyAlignment="1">
      <alignment horizontal="left" vertical="center" wrapText="1"/>
    </xf>
    <xf numFmtId="0" fontId="8" fillId="3" borderId="1" xfId="10" applyFont="1" applyFill="1" applyAlignment="1">
      <alignment vertical="center"/>
    </xf>
    <xf numFmtId="165" fontId="8" fillId="0" borderId="1" xfId="10" applyNumberFormat="1" applyFont="1" applyAlignment="1">
      <alignment horizontal="left" vertical="center" wrapText="1"/>
    </xf>
    <xf numFmtId="0" fontId="8" fillId="0" borderId="2" xfId="10" applyFont="1" applyBorder="1" applyAlignment="1">
      <alignment vertical="center"/>
    </xf>
    <xf numFmtId="0" fontId="8" fillId="4" borderId="3" xfId="10" applyFont="1" applyFill="1" applyBorder="1" applyAlignment="1">
      <alignment vertical="center" wrapText="1"/>
    </xf>
    <xf numFmtId="0" fontId="8" fillId="4" borderId="3" xfId="10" applyFont="1" applyFill="1" applyBorder="1" applyAlignment="1">
      <alignment vertical="center"/>
    </xf>
    <xf numFmtId="165" fontId="9" fillId="4" borderId="3" xfId="10" applyNumberFormat="1" applyFont="1" applyFill="1" applyBorder="1" applyAlignment="1">
      <alignment horizontal="left" vertical="center" wrapText="1"/>
    </xf>
    <xf numFmtId="0" fontId="9" fillId="4" borderId="3" xfId="10" applyFont="1" applyFill="1" applyBorder="1" applyAlignment="1">
      <alignment vertical="center"/>
    </xf>
    <xf numFmtId="0" fontId="12" fillId="4" borderId="3" xfId="10" applyFont="1" applyFill="1" applyBorder="1" applyAlignment="1">
      <alignment vertical="center" wrapText="1"/>
    </xf>
    <xf numFmtId="0" fontId="13" fillId="0" borderId="1" xfId="10" applyFont="1" applyAlignment="1">
      <alignment vertical="center" wrapText="1"/>
    </xf>
    <xf numFmtId="0" fontId="8" fillId="0" borderId="1" xfId="10" applyFont="1" applyAlignment="1">
      <alignment horizontal="right" vertical="center"/>
    </xf>
    <xf numFmtId="193" fontId="17" fillId="0" borderId="1" xfId="10" applyNumberFormat="1" applyFont="1" applyAlignment="1">
      <alignment horizontal="left" vertical="center"/>
    </xf>
    <xf numFmtId="0" fontId="8" fillId="0" borderId="1" xfId="10" applyFont="1" applyAlignment="1">
      <alignment wrapText="1"/>
    </xf>
    <xf numFmtId="0" fontId="9" fillId="2" borderId="3" xfId="10" applyFont="1" applyFill="1" applyBorder="1" applyAlignment="1">
      <alignment vertical="center" wrapText="1"/>
    </xf>
    <xf numFmtId="165" fontId="9" fillId="6" borderId="3" xfId="10" applyNumberFormat="1" applyFont="1" applyFill="1" applyBorder="1" applyAlignment="1">
      <alignment horizontal="left" vertical="center" wrapText="1"/>
    </xf>
    <xf numFmtId="0" fontId="13" fillId="6" borderId="3" xfId="10" applyFont="1" applyFill="1" applyBorder="1" applyAlignment="1">
      <alignment vertical="center" wrapText="1"/>
    </xf>
    <xf numFmtId="170" fontId="8" fillId="0" borderId="1" xfId="10" applyNumberFormat="1" applyFont="1" applyAlignment="1">
      <alignment horizontal="left" vertical="center" wrapText="1"/>
    </xf>
    <xf numFmtId="0" fontId="13" fillId="0" borderId="1" xfId="10" applyFont="1" applyAlignment="1">
      <alignment horizontal="left" vertical="center" wrapText="1"/>
    </xf>
    <xf numFmtId="176" fontId="8" fillId="0" borderId="1" xfId="10" applyNumberFormat="1" applyFont="1" applyAlignment="1">
      <alignment horizontal="left" vertical="center" wrapText="1"/>
    </xf>
    <xf numFmtId="0" fontId="17" fillId="0" borderId="1" xfId="10" applyFont="1" applyAlignment="1">
      <alignment vertical="center"/>
    </xf>
    <xf numFmtId="0" fontId="14" fillId="0" borderId="1" xfId="10" applyFont="1" applyAlignment="1">
      <alignment horizontal="left" vertical="center"/>
    </xf>
    <xf numFmtId="0" fontId="8" fillId="0" borderId="6" xfId="10" applyFont="1" applyBorder="1" applyAlignment="1">
      <alignment horizontal="right" vertical="center"/>
    </xf>
    <xf numFmtId="0" fontId="8" fillId="0" borderId="6" xfId="10" applyFont="1" applyBorder="1" applyAlignment="1">
      <alignment vertical="center" wrapText="1"/>
    </xf>
    <xf numFmtId="165" fontId="8" fillId="0" borderId="6" xfId="10" applyNumberFormat="1" applyFont="1" applyBorder="1" applyAlignment="1">
      <alignment horizontal="left" vertical="top" wrapText="1"/>
    </xf>
    <xf numFmtId="165" fontId="8" fillId="0" borderId="6" xfId="10" applyNumberFormat="1" applyFont="1" applyBorder="1" applyAlignment="1">
      <alignment horizontal="left" vertical="center" wrapText="1"/>
    </xf>
    <xf numFmtId="0" fontId="13" fillId="0" borderId="6" xfId="10" applyFont="1" applyBorder="1" applyAlignment="1">
      <alignment vertical="center" wrapText="1"/>
    </xf>
    <xf numFmtId="0" fontId="8" fillId="0" borderId="23" xfId="10" applyFont="1" applyBorder="1" applyAlignment="1">
      <alignment horizontal="right" vertical="center"/>
    </xf>
    <xf numFmtId="191" fontId="8" fillId="0" borderId="23" xfId="10" applyNumberFormat="1" applyFont="1" applyBorder="1" applyAlignment="1">
      <alignment horizontal="left" vertical="center" wrapText="1"/>
    </xf>
    <xf numFmtId="165" fontId="8" fillId="0" borderId="23" xfId="10" applyNumberFormat="1" applyFont="1" applyBorder="1" applyAlignment="1">
      <alignment horizontal="left" vertical="top" wrapText="1"/>
    </xf>
    <xf numFmtId="0" fontId="13" fillId="0" borderId="23" xfId="10" applyFont="1" applyBorder="1" applyAlignment="1">
      <alignment vertical="center" wrapText="1"/>
    </xf>
    <xf numFmtId="192" fontId="8" fillId="0" borderId="6" xfId="10" applyNumberFormat="1" applyFont="1" applyBorder="1" applyAlignment="1">
      <alignment horizontal="left" vertical="center" wrapText="1"/>
    </xf>
    <xf numFmtId="191" fontId="8" fillId="0" borderId="1" xfId="10" applyNumberFormat="1" applyFont="1" applyAlignment="1">
      <alignment horizontal="left" vertical="center" wrapText="1"/>
    </xf>
    <xf numFmtId="165" fontId="8" fillId="0" borderId="6" xfId="10" applyNumberFormat="1" applyFont="1" applyBorder="1" applyAlignment="1">
      <alignment vertical="top" wrapText="1"/>
    </xf>
    <xf numFmtId="0" fontId="8" fillId="0" borderId="6" xfId="10" applyFont="1" applyBorder="1" applyAlignment="1">
      <alignment horizontal="left" vertical="center" wrapText="1"/>
    </xf>
    <xf numFmtId="171" fontId="8" fillId="0" borderId="23" xfId="10" applyNumberFormat="1" applyFont="1" applyBorder="1" applyAlignment="1">
      <alignment vertical="center" wrapText="1"/>
    </xf>
    <xf numFmtId="165" fontId="8" fillId="0" borderId="23" xfId="10" applyNumberFormat="1" applyFont="1" applyBorder="1" applyAlignment="1">
      <alignment horizontal="left" vertical="center" wrapText="1"/>
    </xf>
    <xf numFmtId="189" fontId="8" fillId="0" borderId="1" xfId="10" applyNumberFormat="1" applyFont="1" applyAlignment="1">
      <alignment horizontal="left" vertical="center" wrapText="1"/>
    </xf>
    <xf numFmtId="188" fontId="8" fillId="0" borderId="1" xfId="10" applyNumberFormat="1" applyFont="1" applyAlignment="1">
      <alignment horizontal="left" vertical="center" wrapText="1"/>
    </xf>
    <xf numFmtId="177" fontId="8" fillId="0" borderId="1" xfId="10" applyNumberFormat="1" applyFont="1" applyAlignment="1">
      <alignment horizontal="left" vertical="center" wrapText="1"/>
    </xf>
    <xf numFmtId="178" fontId="8" fillId="0" borderId="1" xfId="10" applyNumberFormat="1" applyFont="1" applyAlignment="1">
      <alignment horizontal="left" vertical="center" wrapText="1"/>
    </xf>
    <xf numFmtId="0" fontId="16" fillId="0" borderId="1" xfId="10" applyAlignment="1">
      <alignment vertical="center" wrapText="1"/>
    </xf>
    <xf numFmtId="164" fontId="8" fillId="0" borderId="1" xfId="10" applyNumberFormat="1" applyFont="1" applyAlignment="1">
      <alignment vertical="center" wrapText="1"/>
    </xf>
    <xf numFmtId="43" fontId="8" fillId="0" borderId="1" xfId="10" applyNumberFormat="1" applyFont="1" applyAlignment="1">
      <alignment vertical="center" wrapText="1"/>
    </xf>
    <xf numFmtId="0" fontId="14" fillId="0" borderId="1" xfId="10" applyFont="1" applyAlignment="1">
      <alignment horizontal="left" vertical="center" wrapText="1"/>
    </xf>
    <xf numFmtId="16" fontId="13" fillId="0" borderId="1" xfId="10" quotePrefix="1" applyNumberFormat="1" applyFont="1" applyAlignment="1">
      <alignment vertical="center" wrapText="1"/>
    </xf>
    <xf numFmtId="165" fontId="8" fillId="0" borderId="1" xfId="10" applyNumberFormat="1" applyFont="1" applyAlignment="1">
      <alignment vertical="center"/>
    </xf>
    <xf numFmtId="2" fontId="8" fillId="0" borderId="1" xfId="10" applyNumberFormat="1" applyFont="1" applyAlignment="1">
      <alignment vertical="center" wrapText="1"/>
    </xf>
    <xf numFmtId="169" fontId="11" fillId="0" borderId="1" xfId="10" applyNumberFormat="1" applyFont="1" applyAlignment="1">
      <alignment horizontal="left" vertical="center" wrapText="1"/>
    </xf>
    <xf numFmtId="168" fontId="8" fillId="0" borderId="1" xfId="10" applyNumberFormat="1" applyFont="1" applyAlignment="1">
      <alignment horizontal="left" vertical="center" wrapText="1"/>
    </xf>
    <xf numFmtId="175" fontId="17" fillId="0" borderId="1" xfId="10" applyNumberFormat="1" applyFont="1" applyAlignment="1">
      <alignment horizontal="left" vertical="center"/>
    </xf>
    <xf numFmtId="171" fontId="8" fillId="0" borderId="1" xfId="10" applyNumberFormat="1" applyFont="1" applyAlignment="1">
      <alignment horizontal="left" vertical="center" wrapText="1"/>
    </xf>
    <xf numFmtId="171" fontId="8" fillId="0" borderId="1" xfId="11" applyNumberFormat="1" applyFont="1" applyAlignment="1">
      <alignment horizontal="left" vertical="center" wrapText="1"/>
    </xf>
    <xf numFmtId="167" fontId="8" fillId="0" borderId="1" xfId="10" applyNumberFormat="1" applyFont="1" applyAlignment="1">
      <alignment horizontal="left" vertical="center"/>
    </xf>
    <xf numFmtId="0" fontId="17" fillId="0" borderId="1" xfId="10" applyFont="1" applyAlignment="1">
      <alignment horizontal="left" vertical="center" wrapText="1"/>
    </xf>
    <xf numFmtId="165" fontId="17" fillId="0" borderId="1" xfId="10" applyNumberFormat="1" applyFont="1" applyAlignment="1">
      <alignment horizontal="left" vertical="center"/>
    </xf>
    <xf numFmtId="165" fontId="17" fillId="5" borderId="1" xfId="10" applyNumberFormat="1" applyFont="1" applyFill="1" applyAlignment="1">
      <alignment horizontal="left" vertical="center"/>
    </xf>
    <xf numFmtId="165" fontId="19" fillId="0" borderId="1" xfId="10" applyNumberFormat="1" applyFont="1" applyAlignment="1">
      <alignment horizontal="left" vertical="center" wrapText="1"/>
    </xf>
    <xf numFmtId="0" fontId="17" fillId="0" borderId="1" xfId="10" applyFont="1" applyAlignment="1">
      <alignment vertical="center" wrapText="1"/>
    </xf>
    <xf numFmtId="0" fontId="13" fillId="0" borderId="1" xfId="10" applyFont="1" applyAlignment="1">
      <alignment vertical="center"/>
    </xf>
    <xf numFmtId="0" fontId="8" fillId="0" borderId="1" xfId="10" applyFont="1" applyAlignment="1">
      <alignment horizontal="center" vertical="center"/>
    </xf>
    <xf numFmtId="0" fontId="12" fillId="0" borderId="1" xfId="10" applyFont="1" applyAlignment="1">
      <alignment horizontal="right" vertical="center"/>
    </xf>
    <xf numFmtId="167" fontId="8" fillId="0" borderId="1" xfId="10" applyNumberFormat="1" applyFont="1" applyAlignment="1">
      <alignment horizontal="left" vertical="center" wrapText="1"/>
    </xf>
    <xf numFmtId="0" fontId="16" fillId="5" borderId="1" xfId="10" applyFill="1" applyAlignment="1">
      <alignment vertical="center"/>
    </xf>
    <xf numFmtId="165" fontId="17" fillId="7" borderId="1" xfId="10" applyNumberFormat="1" applyFont="1" applyFill="1" applyAlignment="1">
      <alignment horizontal="left" vertical="center"/>
    </xf>
    <xf numFmtId="165" fontId="8" fillId="7" borderId="1" xfId="10" applyNumberFormat="1" applyFont="1" applyFill="1" applyAlignment="1">
      <alignment horizontal="left" vertical="center" wrapText="1"/>
    </xf>
    <xf numFmtId="165" fontId="8" fillId="5" borderId="1" xfId="10" applyNumberFormat="1" applyFont="1" applyFill="1" applyAlignment="1">
      <alignment horizontal="left" vertical="center" wrapText="1"/>
    </xf>
    <xf numFmtId="165" fontId="19" fillId="0" borderId="1" xfId="10" applyNumberFormat="1" applyFont="1" applyAlignment="1">
      <alignment horizontal="left" vertical="center"/>
    </xf>
    <xf numFmtId="165" fontId="8" fillId="10" borderId="1" xfId="10" applyNumberFormat="1" applyFont="1" applyFill="1" applyAlignment="1">
      <alignment horizontal="left" vertical="center" wrapText="1"/>
    </xf>
    <xf numFmtId="2" fontId="8" fillId="0" borderId="1" xfId="10" applyNumberFormat="1" applyFont="1" applyAlignment="1">
      <alignment horizontal="left" vertical="center" wrapText="1"/>
    </xf>
    <xf numFmtId="166" fontId="8" fillId="0" borderId="1" xfId="10" applyNumberFormat="1" applyFont="1" applyAlignment="1">
      <alignment horizontal="left" vertical="center" wrapText="1"/>
    </xf>
    <xf numFmtId="0" fontId="8" fillId="6" borderId="3" xfId="10" applyFont="1" applyFill="1" applyBorder="1" applyAlignment="1">
      <alignment vertical="center" wrapText="1"/>
    </xf>
    <xf numFmtId="165" fontId="8" fillId="6" borderId="3" xfId="10" applyNumberFormat="1" applyFont="1" applyFill="1" applyBorder="1" applyAlignment="1">
      <alignment horizontal="left" vertical="center" wrapText="1"/>
    </xf>
    <xf numFmtId="0" fontId="10" fillId="0" borderId="1" xfId="10" applyFont="1" applyAlignment="1">
      <alignment vertical="center"/>
    </xf>
    <xf numFmtId="0" fontId="9" fillId="0" borderId="5" xfId="10" applyFont="1" applyBorder="1" applyAlignment="1">
      <alignment vertical="center" wrapText="1"/>
    </xf>
    <xf numFmtId="0" fontId="8" fillId="0" borderId="3" xfId="10" applyFont="1" applyBorder="1" applyAlignment="1">
      <alignment vertical="center" wrapText="1"/>
    </xf>
    <xf numFmtId="0" fontId="8" fillId="0" borderId="1" xfId="10" quotePrefix="1" applyFont="1" applyAlignment="1">
      <alignment vertical="center"/>
    </xf>
    <xf numFmtId="0" fontId="9" fillId="0" borderId="6" xfId="10" applyFont="1" applyBorder="1" applyAlignment="1">
      <alignment vertical="center" wrapText="1"/>
    </xf>
    <xf numFmtId="0" fontId="8" fillId="5" borderId="1" xfId="10" applyFont="1" applyFill="1" applyAlignment="1">
      <alignment vertical="top"/>
    </xf>
    <xf numFmtId="0" fontId="9" fillId="5" borderId="1" xfId="10" applyFont="1" applyFill="1" applyAlignment="1">
      <alignment vertical="top"/>
    </xf>
    <xf numFmtId="0" fontId="8" fillId="5" borderId="1" xfId="10" applyFont="1" applyFill="1" applyAlignment="1">
      <alignment vertical="top" wrapText="1"/>
    </xf>
    <xf numFmtId="9" fontId="8" fillId="0" borderId="1" xfId="11" applyFont="1" applyFill="1" applyAlignment="1">
      <alignment horizontal="left" vertical="center" wrapText="1"/>
    </xf>
    <xf numFmtId="9" fontId="8" fillId="0" borderId="1" xfId="10" applyNumberFormat="1" applyFont="1" applyAlignment="1">
      <alignment horizontal="left" vertical="center" wrapText="1"/>
    </xf>
    <xf numFmtId="0" fontId="3" fillId="15" borderId="1" xfId="9" applyFont="1" applyFill="1"/>
    <xf numFmtId="0" fontId="2" fillId="0" borderId="1" xfId="9" applyFont="1"/>
    <xf numFmtId="0" fontId="2" fillId="18" borderId="1" xfId="9" applyFont="1" applyFill="1"/>
    <xf numFmtId="10" fontId="2" fillId="0" borderId="1" xfId="9" applyNumberFormat="1" applyFont="1"/>
    <xf numFmtId="187" fontId="22" fillId="0" borderId="35" xfId="8" applyNumberFormat="1" applyFont="1" applyFill="1" applyBorder="1"/>
    <xf numFmtId="0" fontId="5" fillId="11" borderId="1" xfId="9" applyFill="1"/>
    <xf numFmtId="0" fontId="33" fillId="11" borderId="0" xfId="0" applyFont="1" applyFill="1"/>
    <xf numFmtId="0" fontId="20" fillId="25" borderId="20" xfId="0" applyFont="1" applyFill="1" applyBorder="1" applyProtection="1">
      <protection locked="0"/>
    </xf>
    <xf numFmtId="0" fontId="35" fillId="25" borderId="20" xfId="0" applyFont="1" applyFill="1" applyBorder="1" applyAlignment="1" applyProtection="1">
      <alignment horizontal="center"/>
      <protection locked="0"/>
    </xf>
    <xf numFmtId="0" fontId="0" fillId="25" borderId="8" xfId="0" quotePrefix="1" applyFill="1" applyBorder="1" applyAlignment="1" applyProtection="1">
      <alignment horizontal="center"/>
      <protection locked="0"/>
    </xf>
    <xf numFmtId="0" fontId="35" fillId="25" borderId="8" xfId="0" applyFont="1" applyFill="1" applyBorder="1" applyAlignment="1" applyProtection="1">
      <alignment horizontal="center"/>
      <protection locked="0"/>
    </xf>
    <xf numFmtId="0" fontId="0" fillId="25" borderId="20" xfId="0" applyFill="1" applyBorder="1" applyAlignment="1" applyProtection="1">
      <alignment horizontal="center"/>
      <protection locked="0"/>
    </xf>
    <xf numFmtId="0" fontId="0" fillId="25" borderId="8" xfId="0" applyFill="1" applyBorder="1" applyAlignment="1" applyProtection="1">
      <alignment horizontal="center"/>
      <protection locked="0"/>
    </xf>
    <xf numFmtId="0" fontId="0" fillId="25" borderId="20" xfId="0" quotePrefix="1" applyFill="1" applyBorder="1" applyAlignment="1" applyProtection="1">
      <alignment horizontal="center"/>
      <protection locked="0"/>
    </xf>
    <xf numFmtId="0" fontId="20" fillId="0" borderId="1" xfId="9" applyFont="1" applyAlignment="1" applyProtection="1">
      <alignment horizontal="center"/>
      <protection locked="0"/>
    </xf>
    <xf numFmtId="0" fontId="20" fillId="0" borderId="1" xfId="9" applyFont="1" applyAlignment="1" applyProtection="1">
      <alignment horizontal="right"/>
      <protection locked="0"/>
    </xf>
    <xf numFmtId="0" fontId="16" fillId="0" borderId="1" xfId="0" applyFont="1" applyBorder="1"/>
    <xf numFmtId="0" fontId="34" fillId="0" borderId="1" xfId="9" applyFont="1" applyAlignment="1" applyProtection="1">
      <alignment horizontal="center"/>
      <protection locked="0"/>
    </xf>
    <xf numFmtId="0" fontId="34" fillId="0" borderId="1" xfId="9" quotePrefix="1" applyFont="1" applyAlignment="1" applyProtection="1">
      <alignment horizontal="center"/>
      <protection locked="0"/>
    </xf>
    <xf numFmtId="0" fontId="20" fillId="0" borderId="1" xfId="0" applyFont="1" applyBorder="1" applyProtection="1">
      <protection locked="0"/>
    </xf>
    <xf numFmtId="0" fontId="35" fillId="0" borderId="1" xfId="0" applyFont="1" applyBorder="1" applyAlignment="1" applyProtection="1">
      <alignment horizontal="center"/>
      <protection locked="0"/>
    </xf>
    <xf numFmtId="0" fontId="0" fillId="0" borderId="1" xfId="0" quotePrefix="1" applyBorder="1" applyAlignment="1" applyProtection="1">
      <alignment horizontal="center"/>
      <protection locked="0"/>
    </xf>
    <xf numFmtId="0" fontId="0" fillId="0" borderId="1" xfId="0" applyBorder="1" applyAlignment="1" applyProtection="1">
      <alignment horizontal="center"/>
      <protection locked="0"/>
    </xf>
    <xf numFmtId="0" fontId="20" fillId="22" borderId="1" xfId="9" applyFont="1" applyFill="1" applyAlignment="1" applyProtection="1">
      <alignment horizontal="center"/>
      <protection locked="0"/>
    </xf>
    <xf numFmtId="0" fontId="20" fillId="22" borderId="1" xfId="9" applyFont="1" applyFill="1" applyAlignment="1" applyProtection="1">
      <alignment horizontal="right"/>
      <protection locked="0"/>
    </xf>
    <xf numFmtId="0" fontId="34" fillId="22" borderId="1" xfId="9" applyFont="1" applyFill="1" applyAlignment="1" applyProtection="1">
      <alignment horizontal="center"/>
      <protection locked="0"/>
    </xf>
    <xf numFmtId="0" fontId="34" fillId="22" borderId="1" xfId="9" quotePrefix="1" applyFont="1" applyFill="1" applyAlignment="1" applyProtection="1">
      <alignment horizontal="center"/>
      <protection locked="0"/>
    </xf>
    <xf numFmtId="0" fontId="1" fillId="0" borderId="1" xfId="13"/>
    <xf numFmtId="0" fontId="33" fillId="0" borderId="1" xfId="13" applyFont="1"/>
    <xf numFmtId="0" fontId="20" fillId="25" borderId="42" xfId="0" applyFont="1" applyFill="1" applyBorder="1" applyProtection="1">
      <protection locked="0"/>
    </xf>
    <xf numFmtId="0" fontId="20" fillId="25" borderId="44" xfId="0" applyFont="1" applyFill="1" applyBorder="1" applyAlignment="1" applyProtection="1">
      <alignment horizontal="center"/>
      <protection locked="0"/>
    </xf>
    <xf numFmtId="0" fontId="20" fillId="25" borderId="37" xfId="0" applyFont="1" applyFill="1" applyBorder="1" applyProtection="1">
      <protection locked="0"/>
    </xf>
    <xf numFmtId="0" fontId="20" fillId="25" borderId="21" xfId="0" applyFont="1" applyFill="1" applyBorder="1" applyAlignment="1" applyProtection="1">
      <alignment horizontal="center"/>
      <protection locked="0"/>
    </xf>
    <xf numFmtId="0" fontId="16" fillId="0" borderId="0" xfId="0" applyFont="1" applyAlignment="1">
      <alignment horizontal="center" wrapText="1"/>
    </xf>
    <xf numFmtId="0" fontId="13" fillId="0" borderId="1" xfId="10" applyFont="1" applyAlignment="1">
      <alignment horizontal="left" vertical="center" wrapText="1"/>
    </xf>
    <xf numFmtId="0" fontId="17" fillId="0" borderId="1" xfId="10" applyFont="1" applyAlignment="1">
      <alignment horizontal="left" vertical="center" wrapText="1"/>
    </xf>
    <xf numFmtId="0" fontId="13" fillId="0" borderId="1" xfId="10" applyFont="1" applyAlignment="1">
      <alignment horizontal="left" vertical="top" wrapText="1"/>
    </xf>
    <xf numFmtId="0" fontId="8" fillId="0" borderId="1" xfId="10" applyFont="1" applyAlignment="1">
      <alignment horizontal="left" vertical="top" wrapText="1"/>
    </xf>
    <xf numFmtId="165" fontId="8" fillId="0" borderId="6" xfId="10" applyNumberFormat="1" applyFont="1" applyBorder="1" applyAlignment="1">
      <alignment horizontal="left" vertical="top" wrapText="1"/>
    </xf>
    <xf numFmtId="165" fontId="8" fillId="0" borderId="1" xfId="10" applyNumberFormat="1" applyFont="1" applyAlignment="1">
      <alignment horizontal="left" vertical="top" wrapText="1"/>
    </xf>
    <xf numFmtId="177" fontId="8" fillId="0" borderId="1" xfId="10" applyNumberFormat="1" applyFont="1" applyAlignment="1">
      <alignment horizontal="left" vertical="top" wrapText="1"/>
    </xf>
    <xf numFmtId="0" fontId="8" fillId="0" borderId="6" xfId="10" applyFont="1" applyBorder="1" applyAlignment="1">
      <alignment horizontal="left" vertical="center" wrapText="1"/>
    </xf>
    <xf numFmtId="0" fontId="8" fillId="0" borderId="1" xfId="10" applyFont="1" applyAlignment="1">
      <alignment horizontal="left" vertical="center" wrapText="1"/>
    </xf>
    <xf numFmtId="0" fontId="8" fillId="0" borderId="23" xfId="10" applyFont="1" applyBorder="1" applyAlignment="1">
      <alignment horizontal="left" vertical="center" wrapText="1"/>
    </xf>
    <xf numFmtId="0" fontId="8" fillId="0" borderId="1" xfId="10" applyFont="1" applyAlignment="1">
      <alignment horizontal="right" vertical="center"/>
    </xf>
    <xf numFmtId="177" fontId="8" fillId="0" borderId="6" xfId="10" applyNumberFormat="1" applyFont="1" applyBorder="1" applyAlignment="1">
      <alignment horizontal="left" vertical="top" wrapText="1"/>
    </xf>
    <xf numFmtId="165" fontId="8" fillId="0" borderId="23" xfId="10" applyNumberFormat="1" applyFont="1" applyBorder="1" applyAlignment="1">
      <alignment horizontal="left" vertical="top" wrapText="1"/>
    </xf>
    <xf numFmtId="0" fontId="8" fillId="0" borderId="5" xfId="10" applyFont="1" applyBorder="1" applyAlignment="1">
      <alignment horizontal="left" vertical="center" wrapText="1"/>
    </xf>
    <xf numFmtId="0" fontId="8" fillId="0" borderId="5" xfId="10" applyFont="1" applyBorder="1" applyAlignment="1">
      <alignment horizontal="center" vertical="center" wrapText="1"/>
    </xf>
    <xf numFmtId="0" fontId="8" fillId="0" borderId="1" xfId="10" applyFont="1" applyAlignment="1">
      <alignment horizontal="center" vertical="center" wrapText="1"/>
    </xf>
    <xf numFmtId="0" fontId="10" fillId="0" borderId="6" xfId="10" applyFont="1" applyBorder="1" applyAlignment="1">
      <alignment vertical="center" wrapText="1"/>
    </xf>
    <xf numFmtId="0" fontId="10" fillId="0" borderId="1" xfId="10" applyFont="1" applyAlignment="1">
      <alignment vertical="center"/>
    </xf>
    <xf numFmtId="0" fontId="22" fillId="0" borderId="40" xfId="6" applyFont="1" applyBorder="1" applyAlignment="1">
      <alignment horizontal="center" vertical="center" wrapText="1"/>
    </xf>
    <xf numFmtId="0" fontId="22" fillId="0" borderId="15" xfId="6" applyFont="1" applyBorder="1" applyAlignment="1">
      <alignment horizontal="center" vertical="center" wrapText="1"/>
    </xf>
    <xf numFmtId="0" fontId="22" fillId="5" borderId="40" xfId="6" applyFont="1" applyFill="1" applyBorder="1" applyAlignment="1">
      <alignment horizontal="center" vertical="center" wrapText="1"/>
    </xf>
    <xf numFmtId="0" fontId="22" fillId="5" borderId="15" xfId="6" applyFont="1" applyFill="1" applyBorder="1" applyAlignment="1">
      <alignment horizontal="center" vertical="center" wrapText="1"/>
    </xf>
    <xf numFmtId="164" fontId="22" fillId="0" borderId="40" xfId="8" applyNumberFormat="1" applyFont="1" applyBorder="1" applyAlignment="1">
      <alignment horizontal="center" vertical="center" wrapText="1"/>
    </xf>
    <xf numFmtId="164" fontId="22" fillId="0" borderId="15" xfId="8" applyNumberFormat="1" applyFont="1" applyBorder="1" applyAlignment="1">
      <alignment horizontal="center" vertical="center" wrapText="1"/>
    </xf>
    <xf numFmtId="0" fontId="23" fillId="0" borderId="1" xfId="6" applyFont="1" applyAlignment="1">
      <alignment horizontal="center" vertical="center"/>
    </xf>
    <xf numFmtId="0" fontId="22" fillId="0" borderId="40" xfId="6" applyFont="1" applyBorder="1" applyAlignment="1">
      <alignment horizontal="center" wrapText="1"/>
    </xf>
    <xf numFmtId="0" fontId="22" fillId="0" borderId="14" xfId="6" applyFont="1" applyBorder="1" applyAlignment="1">
      <alignment horizontal="center" wrapText="1"/>
    </xf>
    <xf numFmtId="0" fontId="22" fillId="0" borderId="15" xfId="6" applyFont="1" applyBorder="1" applyAlignment="1">
      <alignment horizontal="center" wrapText="1"/>
    </xf>
    <xf numFmtId="164" fontId="22" fillId="0" borderId="26" xfId="8" applyNumberFormat="1" applyFont="1" applyBorder="1" applyAlignment="1">
      <alignment horizontal="center" vertical="center" wrapText="1"/>
    </xf>
    <xf numFmtId="164" fontId="22" fillId="0" borderId="25" xfId="8" applyNumberFormat="1" applyFont="1" applyBorder="1" applyAlignment="1">
      <alignment horizontal="center" vertical="center" wrapText="1"/>
    </xf>
    <xf numFmtId="0" fontId="22" fillId="0" borderId="26" xfId="6" applyFont="1" applyBorder="1" applyAlignment="1">
      <alignment horizontal="center" vertical="center" wrapText="1"/>
    </xf>
    <xf numFmtId="0" fontId="22" fillId="0" borderId="14" xfId="6" applyFont="1" applyBorder="1" applyAlignment="1">
      <alignment horizontal="center" vertical="center" wrapText="1"/>
    </xf>
    <xf numFmtId="0" fontId="22" fillId="0" borderId="27" xfId="6" applyFont="1" applyBorder="1" applyAlignment="1">
      <alignment horizontal="center" vertical="center" wrapText="1"/>
    </xf>
    <xf numFmtId="0" fontId="22" fillId="0" borderId="30" xfId="6" applyFont="1" applyBorder="1" applyAlignment="1">
      <alignment horizontal="center" vertical="center" wrapText="1"/>
    </xf>
    <xf numFmtId="0" fontId="22" fillId="0" borderId="25" xfId="6" applyFont="1" applyBorder="1" applyAlignment="1">
      <alignment horizontal="center" vertical="center" wrapText="1"/>
    </xf>
    <xf numFmtId="0" fontId="23" fillId="0" borderId="27" xfId="6" applyFont="1" applyBorder="1" applyAlignment="1">
      <alignment horizontal="left" vertical="center"/>
    </xf>
    <xf numFmtId="0" fontId="23" fillId="0" borderId="26" xfId="6" applyFont="1" applyBorder="1" applyAlignment="1">
      <alignment horizontal="left" vertical="center"/>
    </xf>
    <xf numFmtId="0" fontId="23" fillId="0" borderId="25" xfId="6" applyFont="1" applyBorder="1" applyAlignment="1">
      <alignment horizontal="left" vertical="center"/>
    </xf>
    <xf numFmtId="0" fontId="29" fillId="0" borderId="40" xfId="6" applyFont="1" applyBorder="1" applyAlignment="1">
      <alignment horizontal="center" vertical="center" wrapText="1"/>
    </xf>
    <xf numFmtId="0" fontId="29" fillId="0" borderId="15" xfId="6" applyFont="1" applyBorder="1" applyAlignment="1">
      <alignment horizontal="center" vertical="center" wrapText="1"/>
    </xf>
    <xf numFmtId="0" fontId="26" fillId="0" borderId="1" xfId="6" applyFont="1" applyAlignment="1">
      <alignment horizontal="center"/>
    </xf>
    <xf numFmtId="0" fontId="22" fillId="0" borderId="31" xfId="6" applyFont="1" applyBorder="1" applyAlignment="1">
      <alignment horizontal="center" vertical="center" wrapText="1"/>
    </xf>
    <xf numFmtId="0" fontId="22" fillId="0" borderId="28" xfId="6" applyFont="1" applyBorder="1" applyAlignment="1">
      <alignment horizontal="center" vertical="center" wrapText="1"/>
    </xf>
    <xf numFmtId="0" fontId="22" fillId="0" borderId="15" xfId="6" applyFont="1" applyBorder="1" applyAlignment="1">
      <alignment horizontal="center" vertical="center"/>
    </xf>
    <xf numFmtId="1" fontId="21" fillId="6" borderId="34" xfId="7" applyNumberFormat="1" applyFont="1" applyFill="1" applyBorder="1" applyAlignment="1">
      <alignment horizontal="right" vertical="center"/>
    </xf>
    <xf numFmtId="1" fontId="21" fillId="6" borderId="26" xfId="7" applyNumberFormat="1" applyFont="1" applyFill="1" applyBorder="1" applyAlignment="1">
      <alignment horizontal="right" vertical="center"/>
    </xf>
    <xf numFmtId="1" fontId="21" fillId="6" borderId="25" xfId="7" applyNumberFormat="1" applyFont="1" applyFill="1" applyBorder="1" applyAlignment="1">
      <alignment horizontal="right" vertical="center"/>
    </xf>
    <xf numFmtId="0" fontId="21" fillId="0" borderId="40" xfId="6" applyFont="1" applyBorder="1" applyAlignment="1">
      <alignment horizontal="center" vertical="center"/>
    </xf>
    <xf numFmtId="0" fontId="21" fillId="0" borderId="15" xfId="6" applyFont="1" applyBorder="1" applyAlignment="1">
      <alignment horizontal="center" vertical="center"/>
    </xf>
    <xf numFmtId="0" fontId="22" fillId="0" borderId="1" xfId="1" applyFont="1" applyAlignment="1">
      <alignment horizontal="center" wrapText="1"/>
    </xf>
    <xf numFmtId="0" fontId="22" fillId="0" borderId="23" xfId="1" applyFont="1" applyBorder="1" applyAlignment="1">
      <alignment horizontal="center" wrapText="1"/>
    </xf>
    <xf numFmtId="180" fontId="7" fillId="0" borderId="1" xfId="1" applyNumberFormat="1" applyAlignment="1">
      <alignment horizontal="center"/>
    </xf>
    <xf numFmtId="0" fontId="22" fillId="0" borderId="6" xfId="1" applyFont="1" applyBorder="1" applyAlignment="1">
      <alignment horizontal="center"/>
    </xf>
    <xf numFmtId="0" fontId="22" fillId="0" borderId="1" xfId="1" quotePrefix="1" applyFont="1" applyAlignment="1">
      <alignment horizontal="left" vertical="center"/>
    </xf>
    <xf numFmtId="0" fontId="22" fillId="0" borderId="1" xfId="1" applyFont="1" applyAlignment="1">
      <alignment horizontal="left" vertical="center"/>
    </xf>
    <xf numFmtId="181" fontId="24" fillId="0" borderId="31" xfId="1" applyNumberFormat="1" applyFont="1" applyBorder="1" applyAlignment="1">
      <alignment horizontal="center" vertical="center"/>
    </xf>
    <xf numFmtId="181" fontId="24" fillId="0" borderId="30" xfId="1" applyNumberFormat="1" applyFont="1" applyBorder="1" applyAlignment="1">
      <alignment horizontal="center" vertical="center"/>
    </xf>
    <xf numFmtId="181" fontId="24" fillId="0" borderId="29" xfId="1" applyNumberFormat="1" applyFont="1" applyBorder="1" applyAlignment="1">
      <alignment horizontal="center" vertical="center"/>
    </xf>
    <xf numFmtId="181" fontId="24" fillId="0" borderId="28" xfId="1" applyNumberFormat="1" applyFont="1" applyBorder="1" applyAlignment="1">
      <alignment horizontal="center" vertical="center"/>
    </xf>
    <xf numFmtId="181" fontId="24" fillId="0" borderId="10" xfId="1" applyNumberFormat="1" applyFont="1" applyBorder="1" applyAlignment="1">
      <alignment horizontal="center" vertical="center"/>
    </xf>
    <xf numFmtId="181" fontId="24" fillId="0" borderId="13" xfId="1" applyNumberFormat="1" applyFont="1" applyBorder="1" applyAlignment="1">
      <alignment horizontal="center" vertical="center"/>
    </xf>
    <xf numFmtId="0" fontId="22" fillId="0" borderId="1" xfId="1" applyFont="1" applyAlignment="1">
      <alignment horizontal="right"/>
    </xf>
    <xf numFmtId="0" fontId="25" fillId="0" borderId="1" xfId="1" quotePrefix="1" applyFont="1" applyAlignment="1">
      <alignment horizontal="center" vertical="center"/>
    </xf>
    <xf numFmtId="0" fontId="22" fillId="0" borderId="6" xfId="1" applyFont="1" applyBorder="1" applyAlignment="1">
      <alignment horizontal="center" wrapText="1"/>
    </xf>
    <xf numFmtId="0" fontId="22" fillId="0" borderId="1" xfId="1" applyFont="1" applyAlignment="1">
      <alignment horizontal="center" vertical="center"/>
    </xf>
    <xf numFmtId="2" fontId="22" fillId="0" borderId="1" xfId="1" applyNumberFormat="1" applyFont="1" applyAlignment="1">
      <alignment horizontal="center" vertical="center"/>
    </xf>
    <xf numFmtId="0" fontId="22" fillId="0" borderId="1" xfId="1" quotePrefix="1" applyFont="1" applyAlignment="1">
      <alignment horizontal="center" vertical="center"/>
    </xf>
    <xf numFmtId="165" fontId="8" fillId="10" borderId="1" xfId="10" applyNumberFormat="1" applyFont="1" applyFill="1" applyAlignment="1">
      <alignment horizontal="left" vertical="center"/>
    </xf>
  </cellXfs>
  <cellStyles count="14">
    <cellStyle name="Comma 2" xfId="2" xr:uid="{E594C48B-176F-4C48-BC48-A93267F6D677}"/>
    <cellStyle name="Comma 2 2" xfId="5" xr:uid="{77D5B082-CF00-4D0B-8F52-D68CEF01B6B5}"/>
    <cellStyle name="Comma 2 3" xfId="8" xr:uid="{0A17CA61-0D1D-4B4C-945C-F2D81B6835F1}"/>
    <cellStyle name="Comma 3" xfId="12" xr:uid="{9D7A5C74-51B1-4464-B601-1D3B27DAE9F6}"/>
    <cellStyle name="Normal" xfId="0" builtinId="0"/>
    <cellStyle name="Normal 2" xfId="1" xr:uid="{B0487FD3-BC43-404E-95BA-07E902E15646}"/>
    <cellStyle name="Normal 2 2" xfId="4" xr:uid="{180122F9-3F39-4281-BDDC-BCFBDF1918C6}"/>
    <cellStyle name="Normal 2 3" xfId="6" xr:uid="{CA0AA387-DB43-44BF-B842-B0D72C50467E}"/>
    <cellStyle name="Normal 3" xfId="9" xr:uid="{3E4AAEEF-A83A-4AE3-A86A-550238A61F14}"/>
    <cellStyle name="Normal 4" xfId="10" xr:uid="{655CDD60-7CD0-4B76-9AC6-3E385708D9AD}"/>
    <cellStyle name="Normal 5" xfId="13" xr:uid="{37352B7F-0AE4-471E-ACF0-20C47B60B380}"/>
    <cellStyle name="Percent 2" xfId="3" xr:uid="{30EF6277-50E3-48DF-A4EE-470255DAB11B}"/>
    <cellStyle name="Percent 2 2" xfId="7" xr:uid="{A6A3CE1C-11BC-425E-95BA-48E037320A4A}"/>
    <cellStyle name="Percent 3" xfId="11" xr:uid="{A34A1B96-DC44-492E-862D-685890704630}"/>
  </cellStyles>
  <dxfs count="2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numFmt numFmtId="185" formatCode="#,##0.00000000000"/>
    </dxf>
    <dxf>
      <numFmt numFmtId="185" formatCode="#,##0.00000000000"/>
    </dxf>
    <dxf>
      <font>
        <b/>
        <i/>
        <color rgb="FFC00000"/>
      </font>
      <fill>
        <patternFill>
          <bgColor rgb="FFFF8F8F"/>
        </patternFill>
      </fill>
    </dxf>
    <dxf>
      <font>
        <b/>
        <i/>
        <color rgb="FFC00000"/>
      </font>
      <fill>
        <patternFill>
          <bgColor rgb="FFFF8989"/>
        </patternFill>
      </fill>
    </dxf>
    <dxf>
      <font>
        <b/>
        <i/>
        <color rgb="FFC00000"/>
      </font>
      <fill>
        <patternFill>
          <bgColor rgb="FFFF8F8F"/>
        </patternFill>
      </fill>
    </dxf>
    <dxf>
      <font>
        <b/>
        <i/>
        <color rgb="FFC00000"/>
      </font>
      <fill>
        <patternFill>
          <bgColor rgb="FFFF8F8F"/>
        </patternFill>
      </fill>
    </dxf>
    <dxf>
      <font>
        <b/>
        <i/>
        <color rgb="FFC00000"/>
      </font>
    </dxf>
    <dxf>
      <font>
        <b/>
        <i/>
        <color rgb="FFC00000"/>
      </font>
    </dxf>
    <dxf>
      <font>
        <b/>
        <i/>
        <color rgb="FFC00000"/>
      </font>
    </dxf>
    <dxf>
      <font>
        <b/>
        <i/>
        <color rgb="FFC00000"/>
      </font>
    </dxf>
    <dxf>
      <font>
        <b/>
        <i/>
        <color rgb="FFC00000"/>
      </font>
    </dxf>
    <dxf>
      <font>
        <b/>
        <i/>
        <color rgb="FFC00000"/>
      </font>
    </dxf>
    <dxf>
      <font>
        <b/>
        <i/>
        <color rgb="FFC00000"/>
      </font>
    </dxf>
    <dxf>
      <font>
        <b/>
        <i/>
        <color rgb="FFC00000"/>
      </font>
    </dxf>
    <dxf>
      <font>
        <b/>
        <i/>
        <color rgb="FFC00000"/>
      </font>
    </dxf>
    <dxf>
      <font>
        <b/>
        <i/>
        <color rgb="FFC00000"/>
      </font>
    </dxf>
  </dxfs>
  <tableStyles count="0" defaultTableStyle="TableStyleMedium2" defaultPivotStyle="PivotStyleLight16"/>
  <colors>
    <mruColors>
      <color rgb="FFFF8989"/>
      <color rgb="FFFF8F8F"/>
      <color rgb="FFFFA7A7"/>
      <color rgb="FFFCEB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S:\Projects\2022%20Projects\22.14_1760%20Jerome%20Ave.,%20Bronx%20(ACMH)\01_Project%20Mgmt\10_Site%20Info-%20Zoning\Copy%20of%201760%20Jerome%20Ave%20Zoning%20ck%20240904.xlsx" TargetMode="External"/><Relationship Id="rId1" Type="http://schemas.openxmlformats.org/officeDocument/2006/relationships/externalLinkPath" Target="Copy%20of%201760%20Jerome%20Ave%20Zoning%20ck%2024090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S:\Projects\2022%20Projects\22.14_1760%20Jerome%20Ave.,%20Bronx%20(ACMH)\01_Project%20Mgmt\10_Site%20Info-%20Zoning\%5b%5d%20area%20check\1760%20Jerome%20Ave%20Zoning_area%20check.xlsx" TargetMode="External"/><Relationship Id="rId1" Type="http://schemas.openxmlformats.org/officeDocument/2006/relationships/externalLinkPath" Target="%5b%5d%20area%20check/1760%20Jerome%20Ave%20Zoning_area%20chec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ea Tabulation (A) "/>
      <sheetName val="UNIT DISTRIBUTION"/>
      <sheetName val="MIH recalibration studies"/>
      <sheetName val="SUPERSEDED Unit Distribution"/>
      <sheetName val="Base Plane Calculation"/>
      <sheetName val="SUPERSEDED Area Tabulation (A)"/>
      <sheetName val="SUPERSEDED - Unit Distribution"/>
    </sheetNames>
    <sheetDataSet>
      <sheetData sheetId="0" refreshError="1"/>
      <sheetData sheetId="1" refreshError="1"/>
      <sheetData sheetId="2" refreshError="1"/>
      <sheetData sheetId="3" refreshError="1"/>
      <sheetData sheetId="4" refreshError="1"/>
      <sheetData sheetId="5">
        <row r="22">
          <cell r="AA22">
            <v>21</v>
          </cell>
          <cell r="AB22">
            <v>30</v>
          </cell>
          <cell r="AC22">
            <v>9</v>
          </cell>
          <cell r="AD22">
            <v>10</v>
          </cell>
        </row>
        <row r="23">
          <cell r="Z23">
            <v>105</v>
          </cell>
        </row>
      </sheetData>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8A-UG2-Special District"/>
      <sheetName val="Unit Distribution"/>
      <sheetName val="Base Plane Calculation"/>
      <sheetName val="SUPERSEDED - Unit Distribution"/>
    </sheetNames>
    <sheetDataSet>
      <sheetData sheetId="0">
        <row r="39">
          <cell r="C39">
            <v>100800</v>
          </cell>
        </row>
      </sheetData>
      <sheetData sheetId="1"/>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1BDD6-1BC0-4634-AE04-6EB76B954425}">
  <sheetPr>
    <tabColor rgb="FFD99594"/>
  </sheetPr>
  <dimension ref="A1:AD294"/>
  <sheetViews>
    <sheetView tabSelected="1" view="pageLayout" topLeftCell="A43" zoomScale="130" zoomScaleNormal="115" zoomScalePageLayoutView="130" workbookViewId="0">
      <selection activeCell="C35" sqref="C35"/>
    </sheetView>
  </sheetViews>
  <sheetFormatPr defaultColWidth="14.42578125" defaultRowHeight="15.2" customHeight="1" outlineLevelRow="1"/>
  <cols>
    <col min="1" max="1" width="17" style="146" customWidth="1"/>
    <col min="2" max="2" width="31.7109375" style="146" customWidth="1"/>
    <col min="3" max="3" width="34.42578125" style="146" customWidth="1"/>
    <col min="4" max="4" width="21.7109375" style="146" customWidth="1"/>
    <col min="5" max="5" width="15.7109375" style="146" customWidth="1"/>
    <col min="6" max="6" width="13" style="146" customWidth="1"/>
    <col min="7" max="8" width="9.42578125" style="146" customWidth="1"/>
    <col min="9" max="9" width="17.140625" style="146" customWidth="1"/>
    <col min="10" max="10" width="10.7109375" style="146" customWidth="1"/>
    <col min="11" max="11" width="14.140625" style="146" customWidth="1"/>
    <col min="12" max="12" width="11" style="146" customWidth="1"/>
    <col min="13" max="13" width="8.42578125" style="146" customWidth="1"/>
    <col min="14" max="14" width="4.7109375" style="146" customWidth="1"/>
    <col min="15" max="18" width="9.140625" style="146" customWidth="1"/>
    <col min="19" max="19" width="3.7109375" style="146" customWidth="1"/>
    <col min="20" max="30" width="9.140625" style="146" customWidth="1"/>
    <col min="31" max="16384" width="14.42578125" style="146"/>
  </cols>
  <sheetData>
    <row r="1" spans="1:30" ht="11.45" customHeight="1">
      <c r="A1" s="312"/>
      <c r="B1" s="311" t="s">
        <v>0</v>
      </c>
      <c r="C1" s="310"/>
      <c r="D1" s="310"/>
      <c r="E1" s="310"/>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row>
    <row r="2" spans="1:30" s="273" customFormat="1" ht="22.5">
      <c r="A2" s="309" t="s">
        <v>2</v>
      </c>
      <c r="B2" s="356" t="s">
        <v>128</v>
      </c>
      <c r="C2" s="365"/>
      <c r="D2" s="365"/>
      <c r="E2" s="365"/>
      <c r="F2" s="198"/>
      <c r="G2" s="195"/>
      <c r="H2" s="195"/>
      <c r="I2" s="195"/>
      <c r="J2" s="195"/>
      <c r="K2" s="195"/>
      <c r="L2" s="195"/>
      <c r="M2" s="195"/>
      <c r="N2" s="195"/>
      <c r="O2" s="195"/>
      <c r="P2" s="195"/>
      <c r="Q2" s="195"/>
      <c r="R2" s="195"/>
      <c r="S2" s="195"/>
      <c r="T2" s="195"/>
      <c r="U2" s="195"/>
      <c r="V2" s="195"/>
      <c r="W2" s="195"/>
      <c r="X2" s="195"/>
      <c r="Y2" s="195"/>
      <c r="Z2" s="195"/>
      <c r="AA2" s="195"/>
      <c r="AB2" s="195"/>
      <c r="AC2" s="195"/>
      <c r="AD2" s="195"/>
    </row>
    <row r="3" spans="1:30" s="187" customFormat="1" ht="11.45" customHeight="1">
      <c r="A3" s="200" t="s">
        <v>3</v>
      </c>
      <c r="B3" s="195" t="s">
        <v>129</v>
      </c>
      <c r="C3" s="188"/>
      <c r="D3" s="188"/>
      <c r="E3" s="188"/>
      <c r="F3" s="188"/>
      <c r="G3" s="188"/>
      <c r="H3" s="188"/>
      <c r="I3" s="188"/>
      <c r="J3" s="188"/>
      <c r="K3" s="188"/>
      <c r="L3" s="188"/>
      <c r="M3" s="188"/>
      <c r="N3" s="188"/>
      <c r="O3" s="188"/>
      <c r="P3" s="188"/>
      <c r="Q3" s="188"/>
      <c r="R3" s="188"/>
      <c r="S3" s="188"/>
      <c r="T3" s="188"/>
      <c r="U3" s="188"/>
      <c r="V3" s="188"/>
      <c r="W3" s="188"/>
      <c r="X3" s="188"/>
      <c r="Y3" s="188"/>
      <c r="Z3" s="188"/>
      <c r="AA3" s="188"/>
      <c r="AB3" s="188"/>
      <c r="AC3" s="188"/>
      <c r="AD3" s="188"/>
    </row>
    <row r="4" spans="1:30" s="187" customFormat="1" ht="11.45" customHeight="1">
      <c r="A4" s="200" t="s">
        <v>4</v>
      </c>
      <c r="B4" s="194">
        <v>2850</v>
      </c>
      <c r="C4" s="188"/>
      <c r="D4" s="188"/>
      <c r="E4" s="188"/>
      <c r="F4" s="188"/>
      <c r="G4" s="188"/>
      <c r="H4" s="188"/>
      <c r="I4" s="188"/>
      <c r="J4" s="188"/>
      <c r="K4" s="188"/>
      <c r="L4" s="188"/>
      <c r="M4" s="188"/>
      <c r="N4" s="188"/>
      <c r="O4" s="188"/>
      <c r="P4" s="188"/>
      <c r="Q4" s="188"/>
      <c r="R4" s="188"/>
      <c r="S4" s="188"/>
      <c r="T4" s="188"/>
      <c r="U4" s="188"/>
      <c r="V4" s="188"/>
      <c r="W4" s="188"/>
      <c r="X4" s="188"/>
      <c r="Y4" s="188"/>
      <c r="Z4" s="188"/>
      <c r="AA4" s="188"/>
      <c r="AB4" s="188"/>
      <c r="AC4" s="188"/>
      <c r="AD4" s="188"/>
    </row>
    <row r="5" spans="1:30" s="187" customFormat="1" ht="11.45" customHeight="1">
      <c r="A5" s="200" t="s">
        <v>5</v>
      </c>
      <c r="B5" s="194" t="s">
        <v>598</v>
      </c>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row>
    <row r="6" spans="1:30" s="187" customFormat="1" ht="11.45" customHeight="1">
      <c r="A6" s="200" t="s">
        <v>6</v>
      </c>
      <c r="B6" s="188" t="s">
        <v>56</v>
      </c>
      <c r="C6" s="188"/>
      <c r="D6" s="188"/>
      <c r="E6" s="188"/>
      <c r="F6" s="188"/>
      <c r="G6" s="188"/>
      <c r="H6" s="188"/>
      <c r="I6" s="188"/>
      <c r="J6" s="188"/>
      <c r="K6" s="188"/>
      <c r="L6" s="188"/>
      <c r="M6" s="188"/>
      <c r="N6" s="188"/>
      <c r="O6" s="188"/>
      <c r="P6" s="188"/>
      <c r="Q6" s="188"/>
      <c r="R6" s="188"/>
      <c r="S6" s="188"/>
      <c r="T6" s="188"/>
      <c r="U6" s="188"/>
      <c r="V6" s="188"/>
      <c r="W6" s="188"/>
      <c r="X6" s="188"/>
      <c r="Y6" s="188"/>
      <c r="Z6" s="188"/>
      <c r="AA6" s="188"/>
      <c r="AB6" s="188"/>
      <c r="AC6" s="188"/>
      <c r="AD6" s="188"/>
    </row>
    <row r="7" spans="1:30" s="187" customFormat="1" ht="11.45" customHeight="1">
      <c r="A7" s="200" t="s">
        <v>7</v>
      </c>
      <c r="B7" s="195" t="s">
        <v>57</v>
      </c>
      <c r="C7" s="188"/>
      <c r="D7" s="188"/>
      <c r="E7" s="188"/>
      <c r="F7" s="188"/>
      <c r="G7" s="188"/>
      <c r="H7" s="188"/>
      <c r="I7" s="188"/>
      <c r="J7" s="188"/>
      <c r="K7" s="188"/>
      <c r="L7" s="188"/>
      <c r="M7" s="188"/>
      <c r="N7" s="188"/>
      <c r="O7" s="188"/>
      <c r="P7" s="188"/>
      <c r="Q7" s="188"/>
      <c r="R7" s="188"/>
      <c r="S7" s="188"/>
      <c r="T7" s="188"/>
      <c r="U7" s="188"/>
      <c r="V7" s="188"/>
      <c r="W7" s="188"/>
      <c r="X7" s="188"/>
      <c r="Y7" s="188"/>
      <c r="Z7" s="188"/>
      <c r="AA7" s="188"/>
      <c r="AB7" s="188"/>
      <c r="AC7" s="188"/>
      <c r="AD7" s="188"/>
    </row>
    <row r="8" spans="1:30" s="187" customFormat="1" ht="11.45" customHeight="1">
      <c r="A8" s="200" t="s">
        <v>61</v>
      </c>
      <c r="B8" s="188" t="s">
        <v>99</v>
      </c>
      <c r="C8" s="188"/>
      <c r="D8" s="188"/>
      <c r="E8" s="188"/>
      <c r="F8" s="188"/>
      <c r="G8" s="188"/>
      <c r="H8" s="188"/>
      <c r="I8" s="188"/>
      <c r="J8" s="188"/>
      <c r="K8" s="188"/>
      <c r="L8" s="188"/>
      <c r="M8" s="188"/>
      <c r="N8" s="188"/>
      <c r="O8" s="188"/>
      <c r="P8" s="188"/>
      <c r="Q8" s="188"/>
      <c r="R8" s="188"/>
      <c r="S8" s="188"/>
      <c r="T8" s="188"/>
      <c r="U8" s="188"/>
      <c r="V8" s="188"/>
      <c r="W8" s="188"/>
      <c r="X8" s="188"/>
      <c r="Y8" s="188"/>
      <c r="Z8" s="188"/>
      <c r="AA8" s="188"/>
      <c r="AB8" s="188"/>
      <c r="AC8" s="188"/>
      <c r="AD8" s="188"/>
    </row>
    <row r="9" spans="1:30" s="187" customFormat="1" ht="11.45" customHeight="1">
      <c r="A9" s="200" t="s">
        <v>100</v>
      </c>
      <c r="B9" s="188" t="s">
        <v>101</v>
      </c>
      <c r="C9" s="188"/>
      <c r="D9" s="188"/>
      <c r="E9" s="188"/>
      <c r="F9" s="188"/>
      <c r="G9" s="188"/>
      <c r="H9" s="188"/>
      <c r="I9" s="188"/>
      <c r="J9" s="188"/>
      <c r="K9" s="188"/>
      <c r="L9" s="188"/>
      <c r="M9" s="188"/>
      <c r="N9" s="188"/>
      <c r="O9" s="188"/>
      <c r="P9" s="188"/>
      <c r="Q9" s="188"/>
      <c r="R9" s="188"/>
      <c r="S9" s="188"/>
      <c r="T9" s="188"/>
      <c r="U9" s="188"/>
      <c r="V9" s="188"/>
      <c r="W9" s="188"/>
      <c r="X9" s="188"/>
      <c r="Y9" s="188"/>
      <c r="Z9" s="188"/>
      <c r="AA9" s="188"/>
      <c r="AB9" s="188"/>
      <c r="AC9" s="188"/>
      <c r="AD9" s="188"/>
    </row>
    <row r="10" spans="1:30" s="187" customFormat="1" ht="11.45" hidden="1" customHeight="1">
      <c r="A10" s="200" t="s">
        <v>62</v>
      </c>
      <c r="B10" s="252" t="s">
        <v>60</v>
      </c>
      <c r="C10" s="188"/>
      <c r="D10" s="188"/>
      <c r="E10" s="188"/>
      <c r="F10" s="188"/>
      <c r="G10" s="188"/>
      <c r="H10" s="188"/>
      <c r="I10" s="188"/>
      <c r="J10" s="188"/>
      <c r="K10" s="188"/>
      <c r="L10" s="188"/>
      <c r="M10" s="188"/>
      <c r="N10" s="188"/>
      <c r="O10" s="188"/>
      <c r="P10" s="188"/>
      <c r="Q10" s="188"/>
      <c r="R10" s="188"/>
      <c r="S10" s="188"/>
      <c r="T10" s="188"/>
      <c r="U10" s="188"/>
      <c r="V10" s="188"/>
      <c r="W10" s="188"/>
      <c r="X10" s="188"/>
      <c r="Y10" s="188"/>
      <c r="Z10" s="188"/>
      <c r="AA10" s="188"/>
      <c r="AB10" s="188"/>
      <c r="AC10" s="188"/>
      <c r="AD10" s="188"/>
    </row>
    <row r="11" spans="1:30" s="187" customFormat="1" ht="11.45" hidden="1" customHeight="1">
      <c r="A11" s="200"/>
      <c r="B11" s="308" t="s">
        <v>58</v>
      </c>
      <c r="C11" s="188"/>
      <c r="D11" s="188"/>
      <c r="E11" s="188"/>
      <c r="F11" s="188"/>
      <c r="G11" s="188"/>
      <c r="H11" s="188"/>
      <c r="I11" s="188"/>
      <c r="J11" s="188"/>
      <c r="K11" s="188"/>
      <c r="L11" s="188"/>
      <c r="M11" s="188"/>
      <c r="N11" s="188"/>
      <c r="O11" s="188"/>
      <c r="P11" s="188"/>
      <c r="Q11" s="188"/>
      <c r="R11" s="188"/>
      <c r="S11" s="188"/>
      <c r="T11" s="188"/>
      <c r="U11" s="188"/>
      <c r="V11" s="188"/>
      <c r="W11" s="188"/>
      <c r="X11" s="188"/>
      <c r="Y11" s="188"/>
      <c r="Z11" s="188"/>
      <c r="AA11" s="188"/>
      <c r="AB11" s="188"/>
      <c r="AC11" s="188"/>
      <c r="AD11" s="188"/>
    </row>
    <row r="12" spans="1:30" s="187" customFormat="1" ht="11.45" hidden="1" customHeight="1">
      <c r="B12" s="308" t="s">
        <v>59</v>
      </c>
      <c r="D12" s="188"/>
      <c r="F12" s="188"/>
      <c r="G12" s="188"/>
      <c r="H12" s="188"/>
      <c r="I12" s="188"/>
      <c r="J12" s="188"/>
      <c r="K12" s="188"/>
      <c r="L12" s="188"/>
      <c r="M12" s="188"/>
      <c r="N12" s="188"/>
      <c r="O12" s="188"/>
      <c r="P12" s="188"/>
      <c r="Q12" s="188"/>
      <c r="R12" s="188"/>
      <c r="S12" s="188"/>
      <c r="T12" s="188"/>
      <c r="U12" s="188"/>
      <c r="V12" s="188"/>
      <c r="W12" s="188"/>
      <c r="X12" s="188"/>
      <c r="Y12" s="188"/>
      <c r="Z12" s="188"/>
      <c r="AA12" s="188"/>
      <c r="AB12" s="188"/>
      <c r="AC12" s="188"/>
      <c r="AD12" s="188"/>
    </row>
    <row r="13" spans="1:30" s="187" customFormat="1" ht="11.45" customHeight="1">
      <c r="A13" s="200" t="s">
        <v>63</v>
      </c>
      <c r="B13" s="235">
        <v>14000</v>
      </c>
      <c r="C13" s="188"/>
      <c r="D13" s="188"/>
      <c r="E13" s="188"/>
      <c r="F13" s="188"/>
      <c r="G13" s="188"/>
      <c r="H13" s="188"/>
      <c r="I13" s="188"/>
      <c r="J13" s="188"/>
      <c r="K13" s="188"/>
      <c r="L13" s="188"/>
      <c r="M13" s="188"/>
      <c r="N13" s="188"/>
      <c r="O13" s="188"/>
      <c r="P13" s="188"/>
      <c r="Q13" s="188"/>
      <c r="R13" s="188"/>
      <c r="S13" s="190"/>
      <c r="T13" s="190"/>
      <c r="U13" s="188"/>
      <c r="V13" s="189"/>
      <c r="W13" s="188"/>
      <c r="X13" s="188"/>
      <c r="Y13" s="188"/>
      <c r="Z13" s="188"/>
      <c r="AA13" s="188"/>
      <c r="AB13" s="188"/>
      <c r="AC13" s="188"/>
      <c r="AD13" s="188"/>
    </row>
    <row r="14" spans="1:30" s="187" customFormat="1" ht="11.45" customHeight="1">
      <c r="B14" s="252" t="s">
        <v>64</v>
      </c>
      <c r="C14" s="235">
        <f>50*100</f>
        <v>5000</v>
      </c>
      <c r="D14" s="188"/>
      <c r="E14" s="188"/>
      <c r="F14" s="188"/>
      <c r="G14" s="188"/>
      <c r="H14" s="188"/>
      <c r="I14" s="188"/>
      <c r="J14" s="188"/>
      <c r="K14" s="188"/>
      <c r="L14" s="188"/>
      <c r="M14" s="188"/>
      <c r="N14" s="188"/>
      <c r="O14" s="188"/>
      <c r="P14" s="188"/>
      <c r="Q14" s="188"/>
      <c r="R14" s="188"/>
      <c r="S14" s="190"/>
      <c r="T14" s="190"/>
      <c r="U14" s="188"/>
      <c r="V14" s="189"/>
      <c r="W14" s="188"/>
      <c r="X14" s="188"/>
      <c r="Y14" s="188"/>
      <c r="Z14" s="188"/>
      <c r="AA14" s="188"/>
      <c r="AB14" s="188"/>
      <c r="AC14" s="188"/>
      <c r="AD14" s="188"/>
    </row>
    <row r="15" spans="1:30" s="187" customFormat="1" ht="11.45" customHeight="1">
      <c r="B15" s="252" t="s">
        <v>102</v>
      </c>
      <c r="C15" s="235">
        <f>90*100</f>
        <v>9000</v>
      </c>
      <c r="D15" s="188"/>
      <c r="E15" s="188"/>
      <c r="F15" s="188"/>
      <c r="G15" s="188"/>
      <c r="H15" s="188"/>
      <c r="I15" s="188"/>
      <c r="J15" s="188"/>
      <c r="K15" s="188"/>
      <c r="L15" s="188"/>
      <c r="M15" s="188"/>
      <c r="N15" s="188"/>
      <c r="O15" s="188"/>
      <c r="P15" s="188"/>
      <c r="Q15" s="188"/>
      <c r="R15" s="188"/>
      <c r="S15" s="190"/>
      <c r="T15" s="190"/>
      <c r="U15" s="188"/>
      <c r="V15" s="189"/>
      <c r="W15" s="188"/>
      <c r="X15" s="188"/>
      <c r="Y15" s="188"/>
      <c r="Z15" s="188"/>
      <c r="AA15" s="188"/>
      <c r="AB15" s="188"/>
      <c r="AC15" s="188"/>
      <c r="AD15" s="188"/>
    </row>
    <row r="16" spans="1:30" s="187" customFormat="1" ht="11.45" customHeight="1" thickBot="1">
      <c r="A16" s="307"/>
      <c r="B16" s="307"/>
      <c r="C16" s="307"/>
      <c r="D16" s="307"/>
      <c r="E16" s="307"/>
      <c r="F16" s="213"/>
      <c r="G16" s="197"/>
      <c r="H16" s="197"/>
      <c r="I16" s="188"/>
      <c r="J16" s="188"/>
      <c r="K16" s="188"/>
      <c r="L16" s="188"/>
      <c r="M16" s="188"/>
      <c r="N16" s="188"/>
      <c r="O16" s="188"/>
      <c r="P16" s="188"/>
      <c r="Q16" s="188"/>
      <c r="R16" s="188"/>
      <c r="S16" s="190"/>
      <c r="T16" s="190"/>
      <c r="U16" s="188"/>
      <c r="V16" s="189"/>
      <c r="W16" s="188"/>
      <c r="X16" s="188"/>
      <c r="Y16" s="188"/>
      <c r="Z16" s="188"/>
      <c r="AA16" s="188"/>
      <c r="AB16" s="188"/>
      <c r="AC16" s="188"/>
      <c r="AD16" s="188"/>
    </row>
    <row r="17" spans="1:30" s="187" customFormat="1" ht="11.45" customHeight="1" thickBot="1">
      <c r="A17" s="246" t="s">
        <v>113</v>
      </c>
      <c r="B17" s="246" t="s">
        <v>114</v>
      </c>
      <c r="C17" s="246" t="s">
        <v>115</v>
      </c>
      <c r="D17" s="246" t="s">
        <v>116</v>
      </c>
      <c r="E17" s="246" t="s">
        <v>117</v>
      </c>
      <c r="F17" s="195"/>
      <c r="G17" s="197"/>
      <c r="H17" s="197"/>
      <c r="I17" s="364"/>
      <c r="J17" s="366"/>
      <c r="K17" s="366"/>
      <c r="L17" s="188"/>
      <c r="M17" s="188"/>
      <c r="N17" s="188"/>
      <c r="O17" s="188"/>
      <c r="P17" s="188"/>
      <c r="Q17" s="188"/>
      <c r="R17" s="188"/>
      <c r="S17" s="190"/>
      <c r="T17" s="190"/>
      <c r="U17" s="188"/>
      <c r="V17" s="189"/>
      <c r="W17" s="188"/>
      <c r="X17" s="188"/>
      <c r="Y17" s="188"/>
      <c r="Z17" s="188"/>
      <c r="AA17" s="188"/>
      <c r="AB17" s="188"/>
      <c r="AC17" s="188"/>
      <c r="AD17" s="188"/>
    </row>
    <row r="18" spans="1:30" s="187" customFormat="1" ht="11.45" customHeight="1">
      <c r="A18" s="306"/>
      <c r="B18" s="306"/>
      <c r="C18" s="306"/>
      <c r="D18" s="306"/>
      <c r="E18" s="306"/>
      <c r="F18" s="195"/>
      <c r="G18" s="197"/>
      <c r="H18" s="197"/>
      <c r="I18" s="196"/>
      <c r="J18" s="305"/>
      <c r="K18" s="305"/>
      <c r="L18" s="188"/>
      <c r="M18" s="188"/>
      <c r="N18" s="188"/>
      <c r="O18" s="188"/>
      <c r="P18" s="188"/>
      <c r="Q18" s="188"/>
      <c r="R18" s="188"/>
      <c r="S18" s="190"/>
      <c r="T18" s="190"/>
      <c r="U18" s="188"/>
      <c r="V18" s="189"/>
      <c r="W18" s="188"/>
      <c r="X18" s="188"/>
      <c r="Y18" s="188"/>
      <c r="Z18" s="188"/>
      <c r="AA18" s="188"/>
      <c r="AB18" s="188"/>
      <c r="AC18" s="188"/>
      <c r="AD18" s="188"/>
    </row>
    <row r="19" spans="1:30" s="187" customFormat="1" ht="11.45" customHeight="1" thickBot="1">
      <c r="A19" s="248"/>
      <c r="B19" s="247" t="s">
        <v>8</v>
      </c>
      <c r="C19" s="304"/>
      <c r="D19" s="303"/>
      <c r="E19" s="303"/>
      <c r="F19" s="200"/>
      <c r="G19" s="197"/>
      <c r="H19" s="197"/>
      <c r="I19" s="196"/>
      <c r="J19" s="196"/>
      <c r="K19" s="196"/>
      <c r="L19" s="188"/>
      <c r="M19" s="188"/>
      <c r="N19" s="188"/>
      <c r="O19" s="188"/>
      <c r="P19" s="188"/>
      <c r="Q19" s="188"/>
      <c r="R19" s="188"/>
      <c r="S19" s="190"/>
      <c r="T19" s="190"/>
      <c r="U19" s="188"/>
      <c r="V19" s="189"/>
      <c r="W19" s="188"/>
      <c r="X19" s="188"/>
      <c r="Y19" s="188"/>
      <c r="Z19" s="188"/>
      <c r="AA19" s="188"/>
      <c r="AB19" s="188"/>
      <c r="AC19" s="188"/>
      <c r="AD19" s="188"/>
    </row>
    <row r="20" spans="1:30" s="187" customFormat="1" ht="11.45" customHeight="1">
      <c r="A20" s="242" t="s">
        <v>69</v>
      </c>
      <c r="B20" s="235"/>
      <c r="C20" s="235" t="s">
        <v>599</v>
      </c>
      <c r="D20" s="362" t="s">
        <v>257</v>
      </c>
      <c r="E20" s="243" t="s">
        <v>152</v>
      </c>
      <c r="F20" s="195"/>
      <c r="G20" s="197"/>
      <c r="H20" s="197"/>
      <c r="I20" s="196"/>
      <c r="J20" s="196"/>
      <c r="K20" s="196"/>
      <c r="L20" s="188"/>
      <c r="M20" s="188"/>
      <c r="N20" s="188"/>
      <c r="O20" s="188"/>
      <c r="P20" s="188"/>
      <c r="Q20" s="188"/>
      <c r="R20" s="188"/>
      <c r="S20" s="191"/>
      <c r="T20" s="190"/>
      <c r="U20" s="188"/>
      <c r="V20" s="189"/>
      <c r="W20" s="188"/>
      <c r="X20" s="188"/>
      <c r="Y20" s="188"/>
      <c r="Z20" s="188"/>
      <c r="AA20" s="188"/>
      <c r="AB20" s="188"/>
      <c r="AC20" s="188"/>
      <c r="AD20" s="188"/>
    </row>
    <row r="21" spans="1:30" s="187" customFormat="1" ht="11.45" customHeight="1">
      <c r="A21" s="242"/>
      <c r="B21" s="235"/>
      <c r="C21" s="235"/>
      <c r="D21" s="357"/>
      <c r="E21" s="243"/>
      <c r="F21" s="195"/>
      <c r="G21" s="197"/>
      <c r="H21" s="197"/>
      <c r="I21" s="196"/>
      <c r="J21" s="196"/>
      <c r="K21" s="196"/>
      <c r="L21" s="188"/>
      <c r="M21" s="188"/>
      <c r="N21" s="188"/>
      <c r="O21" s="188"/>
      <c r="P21" s="188"/>
      <c r="Q21" s="188"/>
      <c r="R21" s="188"/>
      <c r="S21" s="191"/>
      <c r="T21" s="190"/>
      <c r="U21" s="188"/>
      <c r="V21" s="189"/>
      <c r="W21" s="188"/>
      <c r="X21" s="188"/>
      <c r="Y21" s="188"/>
      <c r="Z21" s="188"/>
      <c r="AA21" s="188"/>
      <c r="AB21" s="188"/>
      <c r="AC21" s="188"/>
      <c r="AD21" s="188"/>
    </row>
    <row r="22" spans="1:30" s="187" customFormat="1" ht="11.45" customHeight="1">
      <c r="A22" s="242" t="s">
        <v>142</v>
      </c>
      <c r="B22" s="354" t="s">
        <v>143</v>
      </c>
      <c r="C22" s="354" t="s">
        <v>144</v>
      </c>
      <c r="D22" s="357"/>
      <c r="E22" s="243" t="s">
        <v>152</v>
      </c>
      <c r="F22" s="195"/>
      <c r="G22" s="197"/>
      <c r="H22" s="197"/>
      <c r="I22" s="196"/>
      <c r="J22" s="196"/>
      <c r="K22" s="196"/>
      <c r="L22" s="188"/>
      <c r="M22" s="188"/>
      <c r="N22" s="188"/>
      <c r="O22" s="188"/>
      <c r="P22" s="188"/>
      <c r="Q22" s="188"/>
      <c r="R22" s="188"/>
      <c r="S22" s="191"/>
      <c r="T22" s="190"/>
      <c r="U22" s="188"/>
      <c r="V22" s="189"/>
      <c r="W22" s="188"/>
      <c r="X22" s="188"/>
      <c r="Y22" s="188"/>
      <c r="Z22" s="188"/>
      <c r="AA22" s="188"/>
      <c r="AB22" s="188"/>
      <c r="AC22" s="188"/>
      <c r="AD22" s="188"/>
    </row>
    <row r="23" spans="1:30" s="187" customFormat="1" ht="11.45" customHeight="1">
      <c r="A23" s="242"/>
      <c r="B23" s="354"/>
      <c r="C23" s="354"/>
      <c r="D23" s="357"/>
      <c r="E23" s="243"/>
      <c r="F23" s="195"/>
      <c r="G23" s="197"/>
      <c r="H23" s="197"/>
      <c r="I23" s="196"/>
      <c r="J23" s="196"/>
      <c r="K23" s="196"/>
      <c r="L23" s="188"/>
      <c r="M23" s="188"/>
      <c r="N23" s="188"/>
      <c r="O23" s="188"/>
      <c r="P23" s="188"/>
      <c r="Q23" s="188"/>
      <c r="R23" s="188"/>
      <c r="S23" s="191"/>
      <c r="T23" s="190"/>
      <c r="U23" s="188"/>
      <c r="V23" s="189"/>
      <c r="W23" s="188"/>
      <c r="X23" s="188"/>
      <c r="Y23" s="188"/>
      <c r="Z23" s="188"/>
      <c r="AA23" s="188"/>
      <c r="AB23" s="188"/>
      <c r="AC23" s="188"/>
      <c r="AD23" s="188"/>
    </row>
    <row r="24" spans="1:30" s="187" customFormat="1" ht="11.45" customHeight="1">
      <c r="A24" s="242"/>
      <c r="B24" s="354"/>
      <c r="C24" s="354"/>
      <c r="D24" s="357"/>
      <c r="E24" s="243"/>
      <c r="F24" s="195"/>
      <c r="G24" s="197"/>
      <c r="H24" s="197"/>
      <c r="I24" s="196"/>
      <c r="J24" s="196"/>
      <c r="K24" s="196"/>
      <c r="L24" s="188"/>
      <c r="M24" s="188"/>
      <c r="N24" s="188"/>
      <c r="O24" s="188"/>
      <c r="P24" s="188"/>
      <c r="Q24" s="188"/>
      <c r="R24" s="188"/>
      <c r="S24" s="191"/>
      <c r="T24" s="190"/>
      <c r="U24" s="188"/>
      <c r="V24" s="189"/>
      <c r="W24" s="188"/>
      <c r="X24" s="188"/>
      <c r="Y24" s="188"/>
      <c r="Z24" s="188"/>
      <c r="AA24" s="188"/>
      <c r="AB24" s="188"/>
      <c r="AC24" s="188"/>
      <c r="AD24" s="188"/>
    </row>
    <row r="25" spans="1:30" s="187" customFormat="1" ht="11.45" customHeight="1">
      <c r="A25" s="242"/>
      <c r="B25" s="354"/>
      <c r="C25" s="354"/>
      <c r="D25" s="357"/>
      <c r="E25" s="243"/>
      <c r="F25" s="195"/>
      <c r="G25" s="197"/>
      <c r="H25" s="197"/>
      <c r="I25" s="196"/>
      <c r="J25" s="196"/>
      <c r="K25" s="196"/>
      <c r="L25" s="188"/>
      <c r="M25" s="188"/>
      <c r="N25" s="188"/>
      <c r="O25" s="188"/>
      <c r="P25" s="188"/>
      <c r="Q25" s="188"/>
      <c r="R25" s="188"/>
      <c r="S25" s="191"/>
      <c r="T25" s="190"/>
      <c r="U25" s="188"/>
      <c r="V25" s="189"/>
      <c r="W25" s="188"/>
      <c r="X25" s="188"/>
      <c r="Y25" s="188"/>
      <c r="Z25" s="188"/>
      <c r="AA25" s="188"/>
      <c r="AB25" s="188"/>
      <c r="AC25" s="188"/>
      <c r="AD25" s="188"/>
    </row>
    <row r="26" spans="1:30" s="187" customFormat="1" ht="11.45" customHeight="1">
      <c r="A26" s="242"/>
      <c r="B26" s="354"/>
      <c r="C26" s="354"/>
      <c r="D26" s="357"/>
      <c r="E26" s="243"/>
      <c r="F26" s="195"/>
      <c r="G26" s="197"/>
      <c r="H26" s="197"/>
      <c r="I26" s="196"/>
      <c r="J26" s="196"/>
      <c r="K26" s="196"/>
      <c r="L26" s="188"/>
      <c r="M26" s="188"/>
      <c r="N26" s="188"/>
      <c r="O26" s="188"/>
      <c r="P26" s="188"/>
      <c r="Q26" s="188"/>
      <c r="R26" s="188"/>
      <c r="S26" s="191"/>
      <c r="T26" s="190"/>
      <c r="U26" s="188"/>
      <c r="V26" s="189"/>
      <c r="W26" s="188"/>
      <c r="X26" s="188"/>
      <c r="Y26" s="188"/>
      <c r="Z26" s="188"/>
      <c r="AA26" s="188"/>
      <c r="AB26" s="188"/>
      <c r="AC26" s="188"/>
      <c r="AD26" s="188"/>
    </row>
    <row r="27" spans="1:30" s="187" customFormat="1" ht="11.45" customHeight="1">
      <c r="A27" s="242"/>
      <c r="B27" s="354"/>
      <c r="C27" s="354"/>
      <c r="D27" s="357"/>
      <c r="E27" s="243"/>
      <c r="F27" s="195"/>
      <c r="G27" s="197"/>
      <c r="H27" s="197"/>
      <c r="I27" s="196"/>
      <c r="J27" s="196"/>
      <c r="K27" s="196"/>
      <c r="L27" s="188"/>
      <c r="M27" s="188"/>
      <c r="N27" s="188"/>
      <c r="O27" s="188"/>
      <c r="P27" s="188"/>
      <c r="Q27" s="188"/>
      <c r="R27" s="188"/>
      <c r="S27" s="191"/>
      <c r="T27" s="190"/>
      <c r="U27" s="188"/>
      <c r="V27" s="189"/>
      <c r="W27" s="188"/>
      <c r="X27" s="188"/>
      <c r="Y27" s="188"/>
      <c r="Z27" s="188"/>
      <c r="AA27" s="188"/>
      <c r="AB27" s="188"/>
      <c r="AC27" s="188"/>
      <c r="AD27" s="188"/>
    </row>
    <row r="28" spans="1:30" s="187" customFormat="1" ht="11.45" customHeight="1">
      <c r="A28" s="242"/>
      <c r="B28" s="177"/>
      <c r="C28" s="354"/>
      <c r="D28" s="357"/>
      <c r="E28" s="243"/>
      <c r="F28" s="195"/>
      <c r="G28" s="197"/>
      <c r="H28" s="197"/>
      <c r="I28" s="196"/>
      <c r="J28" s="196"/>
      <c r="K28" s="196"/>
      <c r="L28" s="188"/>
      <c r="M28" s="188"/>
      <c r="N28" s="188"/>
      <c r="O28" s="188"/>
      <c r="P28" s="188"/>
      <c r="Q28" s="188"/>
      <c r="R28" s="188"/>
      <c r="S28" s="191"/>
      <c r="T28" s="190"/>
      <c r="U28" s="188"/>
      <c r="V28" s="189"/>
      <c r="W28" s="188"/>
      <c r="X28" s="188"/>
      <c r="Y28" s="188"/>
      <c r="Z28" s="188"/>
      <c r="AA28" s="188"/>
      <c r="AB28" s="188"/>
      <c r="AC28" s="188"/>
      <c r="AD28" s="188"/>
    </row>
    <row r="29" spans="1:30" s="187" customFormat="1" ht="11.45" customHeight="1">
      <c r="A29" s="242"/>
      <c r="B29" s="177"/>
      <c r="C29" s="354"/>
      <c r="D29" s="357"/>
      <c r="E29" s="243"/>
      <c r="F29" s="195"/>
      <c r="G29" s="197"/>
      <c r="H29" s="197"/>
      <c r="I29" s="196"/>
      <c r="J29" s="196"/>
      <c r="K29" s="196"/>
      <c r="L29" s="188"/>
      <c r="M29" s="188"/>
      <c r="N29" s="188"/>
      <c r="O29" s="188"/>
      <c r="P29" s="188"/>
      <c r="Q29" s="188"/>
      <c r="R29" s="188"/>
      <c r="S29" s="191"/>
      <c r="T29" s="190"/>
      <c r="U29" s="188"/>
      <c r="V29" s="189"/>
      <c r="W29" s="188"/>
      <c r="X29" s="188"/>
      <c r="Y29" s="188"/>
      <c r="Z29" s="188"/>
      <c r="AA29" s="188"/>
      <c r="AB29" s="188"/>
      <c r="AC29" s="188"/>
      <c r="AD29" s="188"/>
    </row>
    <row r="30" spans="1:30" s="187" customFormat="1" ht="11.45" customHeight="1">
      <c r="A30" s="242"/>
      <c r="B30" s="235"/>
      <c r="C30" s="235"/>
      <c r="D30" s="357"/>
      <c r="E30" s="243"/>
      <c r="F30" s="195"/>
      <c r="G30" s="197"/>
      <c r="H30" s="197"/>
      <c r="I30" s="196"/>
      <c r="J30" s="196"/>
      <c r="K30" s="196"/>
      <c r="L30" s="188"/>
      <c r="M30" s="188"/>
      <c r="N30" s="188"/>
      <c r="O30" s="188"/>
      <c r="P30" s="188"/>
      <c r="Q30" s="188"/>
      <c r="R30" s="188"/>
      <c r="S30" s="191"/>
      <c r="T30" s="190"/>
      <c r="U30" s="188"/>
      <c r="V30" s="189"/>
      <c r="W30" s="188"/>
      <c r="X30" s="188"/>
      <c r="Y30" s="188"/>
      <c r="Z30" s="188"/>
      <c r="AA30" s="188"/>
      <c r="AB30" s="188"/>
      <c r="AC30" s="188"/>
      <c r="AD30" s="188"/>
    </row>
    <row r="31" spans="1:30" s="187" customFormat="1" ht="11.45" customHeight="1" thickBot="1">
      <c r="A31" s="248"/>
      <c r="B31" s="247" t="s">
        <v>1</v>
      </c>
      <c r="C31" s="246" t="s">
        <v>115</v>
      </c>
      <c r="D31" s="246" t="s">
        <v>116</v>
      </c>
      <c r="E31" s="246" t="s">
        <v>117</v>
      </c>
      <c r="F31" s="195"/>
      <c r="G31" s="197"/>
      <c r="H31" s="197"/>
      <c r="I31" s="196"/>
      <c r="J31" s="196"/>
      <c r="K31" s="196"/>
      <c r="L31" s="188"/>
      <c r="M31" s="188"/>
      <c r="N31" s="188"/>
      <c r="O31" s="188"/>
      <c r="P31" s="188"/>
      <c r="Q31" s="188"/>
      <c r="R31" s="188"/>
      <c r="S31" s="190"/>
      <c r="T31" s="191"/>
      <c r="U31" s="190"/>
      <c r="V31" s="189"/>
      <c r="W31" s="188"/>
      <c r="X31" s="188"/>
      <c r="Y31" s="188"/>
      <c r="Z31" s="188"/>
      <c r="AA31" s="188"/>
      <c r="AB31" s="188"/>
      <c r="AC31" s="188"/>
      <c r="AD31" s="188"/>
    </row>
    <row r="32" spans="1:30" s="187" customFormat="1" ht="11.45" customHeight="1">
      <c r="A32" s="242" t="s">
        <v>9</v>
      </c>
      <c r="B32" s="235" t="s">
        <v>132</v>
      </c>
      <c r="C32" s="301">
        <v>7.2</v>
      </c>
      <c r="D32" s="301">
        <v>3.59</v>
      </c>
      <c r="E32" s="243" t="str">
        <f>IF(D32&lt;=C32,"COMPLIES","DOES NOT COMPLY")</f>
        <v>COMPLIES</v>
      </c>
      <c r="F32" s="195"/>
      <c r="G32" s="197"/>
      <c r="H32" s="197"/>
      <c r="I32" s="196"/>
      <c r="J32" s="196"/>
      <c r="K32" s="196"/>
      <c r="L32" s="188"/>
      <c r="M32" s="188"/>
      <c r="N32" s="188"/>
      <c r="O32" s="188"/>
      <c r="P32" s="188"/>
      <c r="Q32" s="188"/>
      <c r="R32" s="188"/>
      <c r="S32" s="190"/>
      <c r="T32" s="191"/>
      <c r="U32" s="190"/>
      <c r="V32" s="189"/>
      <c r="W32" s="188"/>
      <c r="X32" s="188"/>
      <c r="Y32" s="188"/>
      <c r="Z32" s="188"/>
      <c r="AA32" s="188"/>
      <c r="AB32" s="188"/>
      <c r="AC32" s="188"/>
      <c r="AD32" s="188"/>
    </row>
    <row r="33" spans="1:30" s="187" customFormat="1" ht="11.45" customHeight="1">
      <c r="A33" s="351" t="s">
        <v>600</v>
      </c>
      <c r="B33" s="235" t="s">
        <v>103</v>
      </c>
      <c r="C33" s="301">
        <v>5.4</v>
      </c>
      <c r="D33" s="301">
        <v>3.59</v>
      </c>
      <c r="E33" s="243" t="str">
        <f>IF(D33&lt;=C33,"COMPLIES","DOES NOT COMPLY")</f>
        <v>COMPLIES</v>
      </c>
      <c r="F33" s="195"/>
      <c r="G33" s="197"/>
      <c r="H33" s="197"/>
      <c r="I33" s="196"/>
      <c r="J33" s="196"/>
      <c r="K33" s="196"/>
      <c r="L33" s="188"/>
      <c r="M33" s="188"/>
      <c r="N33" s="188"/>
      <c r="O33" s="188"/>
      <c r="P33" s="188"/>
      <c r="Q33" s="188"/>
      <c r="R33" s="188"/>
      <c r="S33" s="190"/>
      <c r="T33" s="191"/>
      <c r="U33" s="190"/>
      <c r="V33" s="189"/>
      <c r="W33" s="188"/>
      <c r="X33" s="188"/>
      <c r="Y33" s="188"/>
      <c r="Z33" s="188"/>
      <c r="AA33" s="188"/>
      <c r="AB33" s="188"/>
      <c r="AC33" s="188"/>
      <c r="AD33" s="188"/>
    </row>
    <row r="34" spans="1:30" s="187" customFormat="1" ht="15">
      <c r="A34" s="351"/>
      <c r="B34" s="235" t="s">
        <v>601</v>
      </c>
      <c r="C34" s="301">
        <f>C32</f>
        <v>7.2</v>
      </c>
      <c r="D34" s="301">
        <f>100643/14000</f>
        <v>7.1887857142857143</v>
      </c>
      <c r="E34" s="243" t="str">
        <f>IF(D34&lt;=C34,"COMPLIES","DOES NOT COMPLY")</f>
        <v>COMPLIES</v>
      </c>
      <c r="F34" s="195"/>
      <c r="G34" s="197"/>
      <c r="H34" s="197"/>
      <c r="I34" s="195"/>
      <c r="J34" s="195"/>
      <c r="K34" s="196"/>
      <c r="L34" s="188"/>
      <c r="M34" s="188"/>
      <c r="N34" s="188"/>
      <c r="O34" s="188"/>
      <c r="P34" s="188"/>
      <c r="Q34" s="188"/>
      <c r="R34" s="188"/>
      <c r="S34" s="190"/>
      <c r="T34" s="191"/>
      <c r="U34" s="190"/>
      <c r="V34" s="189"/>
      <c r="W34" s="188"/>
      <c r="X34" s="188"/>
      <c r="Y34" s="188"/>
      <c r="Z34" s="188"/>
      <c r="AA34" s="188"/>
      <c r="AB34" s="188"/>
      <c r="AC34" s="188"/>
      <c r="AD34" s="188"/>
    </row>
    <row r="35" spans="1:30" s="187" customFormat="1" ht="11.1" customHeight="1">
      <c r="A35" s="242"/>
      <c r="B35" s="235"/>
      <c r="C35" s="301"/>
      <c r="D35" s="301"/>
      <c r="E35" s="243"/>
      <c r="F35" s="195"/>
      <c r="G35" s="197"/>
      <c r="H35" s="197"/>
      <c r="I35" s="195"/>
      <c r="J35" s="195"/>
      <c r="K35" s="196"/>
      <c r="L35" s="188"/>
      <c r="M35" s="188"/>
      <c r="N35" s="188"/>
      <c r="O35" s="188"/>
      <c r="P35" s="188"/>
      <c r="Q35" s="188"/>
      <c r="R35" s="188"/>
      <c r="S35" s="190"/>
      <c r="T35" s="191"/>
      <c r="U35" s="190"/>
      <c r="V35" s="189"/>
      <c r="W35" s="188"/>
      <c r="X35" s="188"/>
      <c r="Y35" s="188"/>
      <c r="Z35" s="188"/>
      <c r="AA35" s="188"/>
      <c r="AB35" s="188"/>
      <c r="AC35" s="188"/>
      <c r="AD35" s="188"/>
    </row>
    <row r="36" spans="1:30" s="187" customFormat="1" ht="11.1" customHeight="1">
      <c r="A36" s="351" t="s">
        <v>227</v>
      </c>
      <c r="B36" s="235" t="s">
        <v>258</v>
      </c>
      <c r="C36" s="301">
        <v>6.02</v>
      </c>
      <c r="D36" s="301">
        <v>3.6</v>
      </c>
      <c r="E36" s="243" t="str">
        <f>IF(D36&lt;=C36,"COMPLIES","DOES NOT COMPLY")</f>
        <v>COMPLIES</v>
      </c>
      <c r="F36" s="195"/>
      <c r="G36" s="197"/>
      <c r="H36" s="197"/>
      <c r="I36" s="195"/>
      <c r="J36" s="195"/>
      <c r="K36" s="196"/>
      <c r="L36" s="188"/>
      <c r="M36" s="188"/>
      <c r="N36" s="188"/>
      <c r="O36" s="188"/>
      <c r="P36" s="188"/>
      <c r="Q36" s="188"/>
      <c r="R36" s="188"/>
      <c r="S36" s="190"/>
      <c r="T36" s="191"/>
      <c r="U36" s="190"/>
      <c r="V36" s="189"/>
      <c r="W36" s="188"/>
      <c r="X36" s="188"/>
      <c r="Y36" s="188"/>
      <c r="Z36" s="188"/>
      <c r="AA36" s="188"/>
      <c r="AB36" s="188"/>
      <c r="AC36" s="188"/>
      <c r="AD36" s="188"/>
    </row>
    <row r="37" spans="1:30" s="187" customFormat="1" ht="11.1" customHeight="1">
      <c r="A37" s="351"/>
      <c r="B37" s="235"/>
      <c r="C37" s="302"/>
      <c r="D37" s="301"/>
      <c r="E37" s="195"/>
      <c r="F37" s="195"/>
      <c r="G37" s="197"/>
      <c r="H37" s="197"/>
      <c r="I37" s="195"/>
      <c r="J37" s="195"/>
      <c r="K37" s="196"/>
      <c r="L37" s="188"/>
      <c r="M37" s="188"/>
      <c r="N37" s="188"/>
      <c r="O37" s="188"/>
      <c r="P37" s="188"/>
      <c r="Q37" s="188"/>
      <c r="R37" s="188"/>
      <c r="S37" s="190"/>
      <c r="T37" s="191"/>
      <c r="U37" s="190"/>
      <c r="V37" s="189"/>
      <c r="W37" s="188"/>
      <c r="X37" s="188"/>
      <c r="Y37" s="188"/>
      <c r="Z37" s="188"/>
      <c r="AA37" s="188"/>
      <c r="AB37" s="188"/>
      <c r="AC37" s="188"/>
      <c r="AD37" s="188"/>
    </row>
    <row r="38" spans="1:30" s="187" customFormat="1" ht="11.45" customHeight="1" thickBot="1">
      <c r="A38" s="248"/>
      <c r="B38" s="247" t="s">
        <v>10</v>
      </c>
      <c r="C38" s="246" t="s">
        <v>115</v>
      </c>
      <c r="D38" s="246" t="s">
        <v>116</v>
      </c>
      <c r="E38" s="246" t="s">
        <v>117</v>
      </c>
      <c r="F38" s="195"/>
      <c r="G38" s="197"/>
      <c r="H38" s="197"/>
      <c r="I38" s="195"/>
      <c r="J38" s="195"/>
      <c r="K38" s="196"/>
      <c r="L38" s="188"/>
      <c r="M38" s="188"/>
      <c r="N38" s="188"/>
      <c r="O38" s="188"/>
      <c r="P38" s="188"/>
      <c r="Q38" s="188"/>
      <c r="R38" s="188"/>
      <c r="S38" s="190"/>
      <c r="T38" s="191"/>
      <c r="U38" s="190"/>
      <c r="V38" s="189"/>
      <c r="W38" s="188"/>
      <c r="X38" s="188"/>
      <c r="Y38" s="188"/>
      <c r="Z38" s="188"/>
      <c r="AA38" s="188"/>
      <c r="AB38" s="188"/>
      <c r="AC38" s="188"/>
      <c r="AD38" s="188"/>
    </row>
    <row r="39" spans="1:30" s="187" customFormat="1" ht="11.45" customHeight="1">
      <c r="A39" s="242" t="s">
        <v>9</v>
      </c>
      <c r="B39" s="235" t="s">
        <v>104</v>
      </c>
      <c r="C39" s="235" t="s">
        <v>417</v>
      </c>
      <c r="D39" s="235" t="s">
        <v>438</v>
      </c>
      <c r="E39" s="243" t="s">
        <v>152</v>
      </c>
      <c r="F39" s="195"/>
      <c r="G39" s="197"/>
      <c r="H39" s="197"/>
      <c r="I39" s="195"/>
      <c r="J39" s="195"/>
      <c r="K39" s="196"/>
      <c r="L39" s="188"/>
      <c r="M39" s="188"/>
      <c r="N39" s="188"/>
      <c r="O39" s="188"/>
      <c r="P39" s="188"/>
      <c r="Q39" s="188"/>
      <c r="R39" s="188"/>
      <c r="S39" s="190"/>
      <c r="T39" s="191"/>
      <c r="U39" s="190"/>
      <c r="V39" s="189"/>
      <c r="W39" s="188"/>
      <c r="X39" s="188"/>
      <c r="Y39" s="188"/>
      <c r="Z39" s="188"/>
      <c r="AA39" s="188"/>
      <c r="AB39" s="188"/>
      <c r="AC39" s="188"/>
      <c r="AD39" s="188"/>
    </row>
    <row r="40" spans="1:30" s="187" customFormat="1" ht="11.45" customHeight="1">
      <c r="A40" s="242"/>
      <c r="B40" s="235" t="s">
        <v>256</v>
      </c>
      <c r="C40" s="300" t="s">
        <v>416</v>
      </c>
      <c r="D40" s="235" t="s">
        <v>451</v>
      </c>
      <c r="E40" s="243" t="s">
        <v>152</v>
      </c>
      <c r="F40" s="195"/>
      <c r="G40" s="197"/>
      <c r="H40" s="197"/>
      <c r="I40" s="195"/>
      <c r="J40" s="195"/>
      <c r="K40" s="196"/>
      <c r="L40" s="188"/>
      <c r="M40" s="188"/>
      <c r="N40" s="188"/>
      <c r="O40" s="188"/>
      <c r="P40" s="188"/>
      <c r="Q40" s="188"/>
      <c r="R40" s="188"/>
      <c r="S40" s="190"/>
      <c r="T40" s="191"/>
      <c r="U40" s="190"/>
      <c r="V40" s="189"/>
      <c r="W40" s="188"/>
      <c r="X40" s="188"/>
      <c r="Y40" s="188"/>
      <c r="Z40" s="188"/>
      <c r="AA40" s="188"/>
      <c r="AB40" s="188"/>
      <c r="AC40" s="188"/>
      <c r="AD40" s="188"/>
    </row>
    <row r="41" spans="1:30" s="187" customFormat="1" ht="11.45" customHeight="1">
      <c r="A41" s="242"/>
      <c r="B41" s="235" t="s">
        <v>259</v>
      </c>
      <c r="C41" s="416" t="s">
        <v>596</v>
      </c>
      <c r="D41" s="235" t="s">
        <v>452</v>
      </c>
      <c r="E41" s="243" t="s">
        <v>152</v>
      </c>
      <c r="F41" s="195"/>
      <c r="G41" s="197"/>
      <c r="H41" s="197"/>
      <c r="I41" s="195"/>
      <c r="J41" s="195"/>
      <c r="K41" s="196"/>
      <c r="L41" s="188"/>
      <c r="M41" s="188"/>
      <c r="N41" s="188"/>
      <c r="O41" s="188"/>
      <c r="P41" s="188"/>
      <c r="Q41" s="188"/>
      <c r="R41" s="188"/>
      <c r="S41" s="190"/>
      <c r="T41" s="191"/>
      <c r="U41" s="190"/>
      <c r="V41" s="189"/>
      <c r="W41" s="188"/>
      <c r="X41" s="188"/>
      <c r="Y41" s="188"/>
      <c r="Z41" s="188"/>
      <c r="AA41" s="188"/>
      <c r="AB41" s="188"/>
      <c r="AC41" s="188"/>
      <c r="AD41" s="188"/>
    </row>
    <row r="42" spans="1:30" s="187" customFormat="1" ht="11.45" customHeight="1">
      <c r="A42" s="242"/>
      <c r="B42" s="235"/>
      <c r="C42" s="235"/>
      <c r="D42" s="235"/>
      <c r="E42" s="294"/>
      <c r="F42" s="195"/>
      <c r="G42" s="197"/>
      <c r="H42" s="197"/>
      <c r="I42" s="195"/>
      <c r="J42" s="195"/>
      <c r="K42" s="196"/>
      <c r="L42" s="188"/>
      <c r="M42" s="188"/>
      <c r="N42" s="188"/>
      <c r="O42" s="188"/>
      <c r="P42" s="188"/>
      <c r="Q42" s="188"/>
      <c r="R42" s="188"/>
      <c r="S42" s="190"/>
      <c r="T42" s="191"/>
      <c r="U42" s="190"/>
      <c r="V42" s="189"/>
      <c r="W42" s="188"/>
      <c r="X42" s="188"/>
      <c r="Y42" s="188"/>
      <c r="Z42" s="188"/>
      <c r="AA42" s="188"/>
      <c r="AB42" s="188"/>
      <c r="AC42" s="188"/>
      <c r="AD42" s="188"/>
    </row>
    <row r="43" spans="1:30" s="187" customFormat="1" ht="11.45" customHeight="1">
      <c r="B43" s="299" t="s">
        <v>119</v>
      </c>
      <c r="F43" s="195"/>
      <c r="G43" s="197"/>
      <c r="H43" s="197"/>
      <c r="I43" s="196"/>
      <c r="J43" s="196"/>
      <c r="K43" s="196"/>
      <c r="L43" s="188"/>
      <c r="M43" s="278"/>
      <c r="N43" s="188"/>
      <c r="O43" s="194"/>
      <c r="P43" s="188"/>
      <c r="Q43" s="188"/>
      <c r="R43" s="188"/>
      <c r="S43" s="190"/>
      <c r="T43" s="191"/>
      <c r="U43" s="190"/>
      <c r="V43" s="189"/>
      <c r="W43" s="188"/>
      <c r="X43" s="188"/>
      <c r="Y43" s="188"/>
      <c r="Z43" s="188"/>
      <c r="AA43" s="188"/>
      <c r="AB43" s="188"/>
      <c r="AC43" s="188"/>
      <c r="AD43" s="188"/>
    </row>
    <row r="44" spans="1:30" s="187" customFormat="1" ht="11.45" customHeight="1">
      <c r="A44" s="242" t="s">
        <v>415</v>
      </c>
      <c r="B44" s="235" t="s">
        <v>105</v>
      </c>
      <c r="C44" s="235" t="s">
        <v>414</v>
      </c>
      <c r="D44" s="298"/>
      <c r="F44" s="195"/>
      <c r="G44" s="197"/>
      <c r="H44" s="197"/>
      <c r="I44" s="196"/>
      <c r="J44" s="196"/>
      <c r="K44" s="196"/>
      <c r="L44" s="188"/>
      <c r="M44" s="278"/>
      <c r="N44" s="188"/>
      <c r="O44" s="194"/>
      <c r="P44" s="188"/>
      <c r="Q44" s="188"/>
      <c r="R44" s="188"/>
      <c r="S44" s="190"/>
      <c r="T44" s="191"/>
      <c r="U44" s="190"/>
      <c r="V44" s="189"/>
      <c r="W44" s="188"/>
      <c r="X44" s="188"/>
      <c r="Y44" s="188"/>
      <c r="Z44" s="188"/>
      <c r="AA44" s="188"/>
      <c r="AB44" s="188"/>
      <c r="AC44" s="188"/>
      <c r="AD44" s="188"/>
    </row>
    <row r="45" spans="1:30" s="187" customFormat="1" ht="11.45" hidden="1" customHeight="1">
      <c r="A45" s="242"/>
      <c r="B45" s="297" t="s">
        <v>225</v>
      </c>
      <c r="C45" s="296" t="s">
        <v>406</v>
      </c>
      <c r="D45" s="295"/>
      <c r="E45" s="294"/>
      <c r="F45" s="278"/>
      <c r="G45" s="293"/>
      <c r="H45" s="293"/>
      <c r="I45" s="292"/>
      <c r="J45" s="292"/>
      <c r="K45" s="292"/>
      <c r="L45" s="188"/>
      <c r="M45" s="278"/>
      <c r="N45" s="188"/>
      <c r="O45" s="194"/>
      <c r="P45" s="188"/>
      <c r="Q45" s="188"/>
      <c r="R45" s="188"/>
      <c r="S45" s="190"/>
      <c r="T45" s="191"/>
      <c r="U45" s="190"/>
      <c r="V45" s="189"/>
      <c r="W45" s="188"/>
      <c r="X45" s="188"/>
      <c r="Y45" s="188"/>
      <c r="Z45" s="188"/>
      <c r="AA45" s="188"/>
      <c r="AB45" s="188"/>
      <c r="AC45" s="188"/>
      <c r="AD45" s="188"/>
    </row>
    <row r="46" spans="1:30" s="187" customFormat="1" ht="11.45" hidden="1" customHeight="1">
      <c r="A46" s="291"/>
      <c r="B46" s="290" t="s">
        <v>118</v>
      </c>
      <c r="C46" s="287" t="s">
        <v>407</v>
      </c>
      <c r="D46" s="288"/>
      <c r="F46" s="195"/>
      <c r="G46" s="197"/>
      <c r="H46" s="197"/>
      <c r="I46" s="196"/>
      <c r="J46" s="196"/>
      <c r="K46" s="196"/>
      <c r="L46" s="188"/>
      <c r="M46" s="278"/>
      <c r="N46" s="188"/>
      <c r="O46" s="194"/>
      <c r="P46" s="188"/>
      <c r="Q46" s="188"/>
      <c r="R46" s="188"/>
      <c r="S46" s="190"/>
      <c r="T46" s="191"/>
      <c r="U46" s="190"/>
      <c r="V46" s="189"/>
      <c r="W46" s="188"/>
      <c r="X46" s="188"/>
      <c r="Y46" s="188"/>
      <c r="Z46" s="188"/>
      <c r="AA46" s="188"/>
      <c r="AB46" s="188"/>
      <c r="AC46" s="188"/>
      <c r="AD46" s="188"/>
    </row>
    <row r="47" spans="1:30" s="187" customFormat="1" ht="11.45" hidden="1" customHeight="1">
      <c r="A47" s="242"/>
      <c r="B47" s="235"/>
      <c r="C47" s="287">
        <v>20034</v>
      </c>
      <c r="D47" s="287">
        <v>33257.81</v>
      </c>
      <c r="E47" s="243" t="str">
        <f>IF(D47&gt;=C47,"COMPLIES","DOES NOT COMPLY")</f>
        <v>COMPLIES</v>
      </c>
      <c r="F47" s="195"/>
      <c r="H47" s="197"/>
      <c r="I47" s="196"/>
      <c r="J47" s="196"/>
      <c r="K47" s="196"/>
      <c r="L47" s="188"/>
      <c r="M47" s="278"/>
      <c r="N47" s="188"/>
      <c r="O47" s="194"/>
      <c r="P47" s="188"/>
      <c r="Q47" s="188"/>
      <c r="R47" s="188"/>
      <c r="S47" s="190"/>
      <c r="T47" s="191"/>
      <c r="U47" s="190"/>
      <c r="V47" s="189"/>
      <c r="W47" s="188"/>
      <c r="X47" s="188"/>
      <c r="Y47" s="188"/>
      <c r="Z47" s="188"/>
      <c r="AA47" s="188"/>
      <c r="AB47" s="188"/>
      <c r="AC47" s="188"/>
      <c r="AD47" s="188"/>
    </row>
    <row r="48" spans="1:30" s="187" customFormat="1" ht="11.45" customHeight="1">
      <c r="A48" s="242" t="s">
        <v>413</v>
      </c>
      <c r="B48" s="289" t="s">
        <v>125</v>
      </c>
      <c r="C48" s="235" t="s">
        <v>126</v>
      </c>
      <c r="D48" s="288"/>
      <c r="E48" s="285"/>
      <c r="F48" s="195"/>
      <c r="G48" s="197"/>
      <c r="H48" s="197"/>
      <c r="I48" s="196"/>
      <c r="J48" s="196"/>
      <c r="K48" s="196"/>
      <c r="L48" s="188"/>
      <c r="M48" s="278"/>
      <c r="N48" s="188"/>
      <c r="O48" s="194"/>
      <c r="P48" s="188"/>
      <c r="Q48" s="188"/>
      <c r="R48" s="188"/>
      <c r="S48" s="190"/>
      <c r="T48" s="191"/>
      <c r="U48" s="190"/>
      <c r="V48" s="189"/>
      <c r="W48" s="188"/>
      <c r="X48" s="188"/>
      <c r="Y48" s="188"/>
      <c r="Z48" s="188"/>
      <c r="AA48" s="188"/>
      <c r="AB48" s="188"/>
      <c r="AC48" s="188"/>
      <c r="AD48" s="188"/>
    </row>
    <row r="49" spans="1:30" s="187" customFormat="1" ht="11.45" customHeight="1">
      <c r="A49" s="242"/>
      <c r="B49" s="235" t="s">
        <v>425</v>
      </c>
      <c r="C49" s="235" t="s">
        <v>426</v>
      </c>
      <c r="D49" s="287">
        <v>13070.453103060039</v>
      </c>
      <c r="E49" s="243" t="s">
        <v>152</v>
      </c>
      <c r="F49" s="195"/>
      <c r="G49" s="197"/>
      <c r="H49" s="197"/>
      <c r="I49" s="196"/>
      <c r="J49" s="196"/>
      <c r="K49" s="196"/>
      <c r="L49" s="188"/>
      <c r="M49" s="278"/>
      <c r="N49" s="188"/>
      <c r="O49" s="194"/>
      <c r="P49" s="188"/>
      <c r="Q49" s="188"/>
      <c r="R49" s="188"/>
      <c r="S49" s="190"/>
      <c r="T49" s="191"/>
      <c r="U49" s="190"/>
      <c r="V49" s="189"/>
      <c r="W49" s="188"/>
      <c r="X49" s="188"/>
      <c r="Y49" s="188"/>
      <c r="Z49" s="188"/>
      <c r="AA49" s="188"/>
      <c r="AB49" s="188"/>
      <c r="AC49" s="188"/>
      <c r="AD49" s="188"/>
    </row>
    <row r="50" spans="1:30" s="187" customFormat="1" ht="11.45" customHeight="1">
      <c r="B50" s="350" t="s">
        <v>127</v>
      </c>
      <c r="C50" s="350"/>
      <c r="D50" s="350"/>
      <c r="E50" s="285"/>
      <c r="F50" s="195"/>
      <c r="G50" s="197"/>
      <c r="H50" s="197"/>
      <c r="I50" s="196"/>
      <c r="J50" s="196"/>
      <c r="K50" s="196"/>
      <c r="L50" s="188"/>
      <c r="M50" s="278"/>
      <c r="N50" s="188"/>
      <c r="O50" s="194"/>
      <c r="P50" s="188"/>
      <c r="Q50" s="188"/>
      <c r="R50" s="188"/>
      <c r="S50" s="190"/>
      <c r="T50" s="191"/>
      <c r="U50" s="190"/>
      <c r="V50" s="189"/>
      <c r="W50" s="188"/>
      <c r="X50" s="188"/>
      <c r="Y50" s="188"/>
      <c r="Z50" s="188"/>
      <c r="AA50" s="188"/>
      <c r="AB50" s="188"/>
      <c r="AC50" s="188"/>
      <c r="AD50" s="188"/>
    </row>
    <row r="51" spans="1:30" s="187" customFormat="1" ht="11.45" customHeight="1">
      <c r="A51" s="242"/>
      <c r="B51" s="350"/>
      <c r="C51" s="350"/>
      <c r="D51" s="350"/>
      <c r="E51" s="285"/>
      <c r="F51" s="195"/>
      <c r="G51" s="197"/>
      <c r="H51" s="197"/>
      <c r="I51" s="196"/>
      <c r="J51" s="196"/>
      <c r="K51" s="196"/>
      <c r="L51" s="188"/>
      <c r="M51" s="278"/>
      <c r="N51" s="188"/>
      <c r="O51" s="194"/>
      <c r="P51" s="188"/>
      <c r="Q51" s="188"/>
      <c r="R51" s="188"/>
      <c r="S51" s="190"/>
      <c r="T51" s="191"/>
      <c r="U51" s="190"/>
      <c r="V51" s="189"/>
      <c r="W51" s="188"/>
      <c r="X51" s="188"/>
      <c r="Y51" s="188"/>
      <c r="Z51" s="188"/>
      <c r="AA51" s="188"/>
      <c r="AB51" s="188"/>
      <c r="AC51" s="188"/>
      <c r="AD51" s="188"/>
    </row>
    <row r="52" spans="1:30" s="187" customFormat="1" ht="11.45" customHeight="1">
      <c r="A52" s="242"/>
      <c r="B52" s="350"/>
      <c r="C52" s="350"/>
      <c r="D52" s="350"/>
      <c r="E52" s="285"/>
      <c r="F52" s="195"/>
      <c r="G52" s="197"/>
      <c r="H52" s="197"/>
      <c r="I52" s="196"/>
      <c r="J52" s="196"/>
      <c r="K52" s="196"/>
      <c r="L52" s="188"/>
      <c r="M52" s="278"/>
      <c r="N52" s="188"/>
      <c r="O52" s="194"/>
      <c r="P52" s="188"/>
      <c r="Q52" s="188"/>
      <c r="R52" s="188"/>
      <c r="S52" s="190"/>
      <c r="T52" s="191"/>
      <c r="U52" s="190"/>
      <c r="V52" s="189"/>
      <c r="W52" s="188"/>
      <c r="X52" s="188"/>
      <c r="Y52" s="188"/>
      <c r="Z52" s="188"/>
      <c r="AA52" s="188"/>
      <c r="AB52" s="188"/>
      <c r="AC52" s="188"/>
      <c r="AD52" s="188"/>
    </row>
    <row r="53" spans="1:30" s="187" customFormat="1" ht="11.45" customHeight="1">
      <c r="A53" s="242"/>
      <c r="B53" s="350"/>
      <c r="C53" s="350"/>
      <c r="D53" s="350"/>
      <c r="E53" s="285"/>
      <c r="F53" s="195"/>
      <c r="G53" s="197"/>
      <c r="H53" s="197"/>
      <c r="I53" s="196"/>
      <c r="J53" s="196"/>
      <c r="K53" s="196"/>
      <c r="L53" s="188"/>
      <c r="M53" s="278"/>
      <c r="N53" s="188"/>
      <c r="O53" s="194"/>
      <c r="P53" s="188"/>
      <c r="Q53" s="188"/>
      <c r="R53" s="188"/>
      <c r="S53" s="190"/>
      <c r="T53" s="191"/>
      <c r="U53" s="190"/>
      <c r="V53" s="189"/>
      <c r="W53" s="188"/>
      <c r="X53" s="188"/>
      <c r="Y53" s="188"/>
      <c r="Z53" s="188"/>
      <c r="AA53" s="188"/>
      <c r="AB53" s="188"/>
      <c r="AC53" s="188"/>
      <c r="AD53" s="188"/>
    </row>
    <row r="54" spans="1:30" s="187" customFormat="1" ht="11.45" customHeight="1">
      <c r="A54" s="242"/>
      <c r="B54" s="286"/>
      <c r="C54" s="286"/>
      <c r="D54" s="286"/>
      <c r="E54" s="285"/>
      <c r="F54" s="195"/>
      <c r="G54" s="197"/>
      <c r="H54" s="197"/>
      <c r="I54" s="196"/>
      <c r="J54" s="196"/>
      <c r="K54" s="196"/>
      <c r="L54" s="188"/>
      <c r="M54" s="278"/>
      <c r="N54" s="188"/>
      <c r="O54" s="194"/>
      <c r="P54" s="188"/>
      <c r="Q54" s="188"/>
      <c r="R54" s="188"/>
      <c r="S54" s="190"/>
      <c r="T54" s="191"/>
      <c r="U54" s="190"/>
      <c r="V54" s="189"/>
      <c r="W54" s="188"/>
      <c r="X54" s="188"/>
      <c r="Y54" s="188"/>
      <c r="Z54" s="188"/>
      <c r="AA54" s="188"/>
      <c r="AB54" s="188"/>
      <c r="AC54" s="188"/>
      <c r="AD54" s="188"/>
    </row>
    <row r="55" spans="1:30" s="187" customFormat="1" ht="11.45" customHeight="1">
      <c r="A55" s="242" t="s">
        <v>133</v>
      </c>
      <c r="B55" s="235" t="s">
        <v>256</v>
      </c>
      <c r="C55" s="235">
        <f>C36*B13</f>
        <v>84280</v>
      </c>
      <c r="D55" s="235" t="s">
        <v>451</v>
      </c>
      <c r="E55" s="243" t="str">
        <f>IF(D55&gt;=C55,"COMPLIES","DOES NOT COMPLY")</f>
        <v>COMPLIES</v>
      </c>
      <c r="F55" s="195"/>
      <c r="G55" s="197"/>
      <c r="H55" s="197"/>
      <c r="I55" s="196"/>
      <c r="J55" s="196"/>
      <c r="K55" s="196"/>
      <c r="L55" s="188"/>
      <c r="M55" s="278"/>
      <c r="N55" s="188"/>
      <c r="O55" s="194"/>
      <c r="P55" s="188"/>
      <c r="Q55" s="188"/>
      <c r="R55" s="188"/>
      <c r="S55" s="190"/>
      <c r="T55" s="191"/>
      <c r="U55" s="190"/>
      <c r="V55" s="189"/>
      <c r="W55" s="188"/>
      <c r="X55" s="188"/>
      <c r="Y55" s="188"/>
      <c r="Z55" s="188"/>
      <c r="AA55" s="188"/>
      <c r="AB55" s="188"/>
      <c r="AC55" s="188"/>
      <c r="AD55" s="188"/>
    </row>
    <row r="56" spans="1:30" s="187" customFormat="1" ht="11.45" customHeight="1">
      <c r="A56" s="242"/>
      <c r="B56" s="286"/>
      <c r="C56" s="286"/>
      <c r="D56" s="286"/>
      <c r="E56" s="285"/>
      <c r="F56" s="195"/>
      <c r="G56" s="197"/>
      <c r="H56" s="197"/>
      <c r="I56" s="196"/>
      <c r="J56" s="196"/>
      <c r="K56" s="196"/>
      <c r="L56" s="188"/>
      <c r="M56" s="278"/>
      <c r="N56" s="188"/>
      <c r="O56" s="194"/>
      <c r="P56" s="188"/>
      <c r="Q56" s="188"/>
      <c r="R56" s="188"/>
      <c r="S56" s="190"/>
      <c r="T56" s="191"/>
      <c r="U56" s="190"/>
      <c r="V56" s="189"/>
      <c r="W56" s="188"/>
      <c r="X56" s="188"/>
      <c r="Y56" s="188"/>
      <c r="Z56" s="188"/>
      <c r="AA56" s="188"/>
      <c r="AB56" s="188"/>
      <c r="AC56" s="188"/>
      <c r="AD56" s="188"/>
    </row>
    <row r="57" spans="1:30" s="187" customFormat="1" ht="11.45" customHeight="1" thickBot="1">
      <c r="A57" s="248"/>
      <c r="B57" s="247" t="s">
        <v>11</v>
      </c>
      <c r="C57" s="246" t="s">
        <v>115</v>
      </c>
      <c r="D57" s="246" t="s">
        <v>116</v>
      </c>
      <c r="E57" s="246" t="s">
        <v>117</v>
      </c>
      <c r="F57" s="195"/>
      <c r="G57" s="197"/>
      <c r="H57" s="197"/>
      <c r="I57" s="196"/>
      <c r="J57" s="196"/>
      <c r="K57" s="196"/>
      <c r="L57" s="188"/>
      <c r="M57" s="191"/>
      <c r="N57" s="188"/>
      <c r="O57" s="194"/>
      <c r="P57" s="188"/>
      <c r="Q57" s="188"/>
      <c r="R57" s="188"/>
      <c r="S57" s="190"/>
      <c r="T57" s="191"/>
      <c r="U57" s="190"/>
      <c r="V57" s="189"/>
      <c r="W57" s="188"/>
      <c r="X57" s="188"/>
      <c r="Y57" s="188"/>
      <c r="Z57" s="188"/>
      <c r="AA57" s="188"/>
      <c r="AB57" s="188"/>
      <c r="AC57" s="188"/>
      <c r="AD57" s="188"/>
    </row>
    <row r="58" spans="1:30" s="187" customFormat="1" ht="11.25" customHeight="1">
      <c r="A58" s="180" t="s">
        <v>70</v>
      </c>
      <c r="B58" s="235" t="s">
        <v>419</v>
      </c>
      <c r="C58" s="284" t="s">
        <v>423</v>
      </c>
      <c r="D58" s="283" t="s">
        <v>422</v>
      </c>
      <c r="F58" s="195"/>
      <c r="G58" s="197"/>
      <c r="H58" s="197"/>
      <c r="I58" s="196"/>
      <c r="J58" s="196"/>
      <c r="K58" s="196"/>
      <c r="L58" s="188"/>
      <c r="M58" s="194"/>
      <c r="N58" s="194"/>
      <c r="O58" s="188"/>
      <c r="P58" s="188"/>
      <c r="Q58" s="188"/>
      <c r="R58" s="188"/>
      <c r="S58" s="190"/>
      <c r="T58" s="191"/>
      <c r="U58" s="190"/>
      <c r="V58" s="189"/>
      <c r="W58" s="188"/>
      <c r="X58" s="188"/>
      <c r="Y58" s="188"/>
      <c r="Z58" s="188"/>
      <c r="AA58" s="188"/>
      <c r="AB58" s="188"/>
      <c r="AC58" s="188"/>
      <c r="AD58" s="188"/>
    </row>
    <row r="59" spans="1:30" s="187" customFormat="1" ht="11.45" customHeight="1">
      <c r="A59" s="180" t="s">
        <v>70</v>
      </c>
      <c r="B59" s="235" t="s">
        <v>420</v>
      </c>
      <c r="C59" s="284" t="s">
        <v>418</v>
      </c>
      <c r="D59" s="313" t="s">
        <v>424</v>
      </c>
      <c r="E59" s="243" t="s">
        <v>152</v>
      </c>
      <c r="F59" s="195"/>
      <c r="G59" s="197"/>
      <c r="H59" s="197"/>
      <c r="I59" s="196"/>
      <c r="J59" s="196"/>
      <c r="K59" s="196"/>
      <c r="L59" s="188"/>
      <c r="M59" s="191"/>
      <c r="N59" s="191"/>
      <c r="O59" s="188"/>
      <c r="P59" s="188"/>
      <c r="Q59" s="188"/>
      <c r="R59" s="188"/>
      <c r="S59" s="190"/>
      <c r="T59" s="191"/>
      <c r="U59" s="190"/>
      <c r="V59" s="189"/>
      <c r="W59" s="188"/>
      <c r="X59" s="188"/>
      <c r="Y59" s="188"/>
      <c r="Z59" s="188"/>
      <c r="AA59" s="188"/>
      <c r="AB59" s="188"/>
      <c r="AC59" s="188"/>
      <c r="AD59" s="188"/>
    </row>
    <row r="60" spans="1:30" s="187" customFormat="1" ht="11.45" customHeight="1">
      <c r="A60" s="242"/>
      <c r="B60" s="235" t="s">
        <v>421</v>
      </c>
      <c r="C60" s="314"/>
      <c r="D60" s="313"/>
      <c r="E60" s="198"/>
      <c r="F60" s="195"/>
      <c r="G60" s="197"/>
      <c r="H60" s="197"/>
      <c r="I60" s="196"/>
      <c r="J60" s="196"/>
      <c r="K60" s="196"/>
      <c r="L60" s="188"/>
      <c r="M60" s="191"/>
      <c r="N60" s="191"/>
      <c r="O60" s="188"/>
      <c r="P60" s="188"/>
      <c r="Q60" s="188"/>
      <c r="R60" s="188"/>
      <c r="S60" s="190"/>
      <c r="T60" s="191"/>
      <c r="U60" s="190"/>
      <c r="V60" s="189"/>
      <c r="W60" s="188"/>
      <c r="X60" s="188"/>
      <c r="Y60" s="188"/>
      <c r="Z60" s="188"/>
      <c r="AA60" s="188"/>
      <c r="AB60" s="188"/>
      <c r="AC60" s="188"/>
      <c r="AD60" s="188"/>
    </row>
    <row r="61" spans="1:30" s="187" customFormat="1" ht="11.45" customHeight="1" thickBot="1">
      <c r="A61" s="248"/>
      <c r="B61" s="247" t="s">
        <v>12</v>
      </c>
      <c r="C61" s="246" t="s">
        <v>115</v>
      </c>
      <c r="D61" s="246" t="s">
        <v>116</v>
      </c>
      <c r="E61" s="246" t="s">
        <v>117</v>
      </c>
      <c r="F61" s="195"/>
      <c r="G61" s="197"/>
      <c r="H61" s="197"/>
      <c r="I61" s="196"/>
      <c r="J61" s="196"/>
      <c r="K61" s="196"/>
      <c r="L61" s="188"/>
      <c r="M61" s="191"/>
      <c r="N61" s="188"/>
      <c r="O61" s="188"/>
      <c r="P61" s="188"/>
      <c r="Q61" s="188"/>
      <c r="R61" s="188"/>
      <c r="S61" s="190"/>
      <c r="T61" s="191"/>
      <c r="U61" s="190"/>
      <c r="V61" s="189"/>
      <c r="W61" s="188"/>
      <c r="X61" s="188"/>
      <c r="Y61" s="188"/>
      <c r="Z61" s="188"/>
      <c r="AA61" s="188"/>
      <c r="AB61" s="188"/>
      <c r="AC61" s="188"/>
      <c r="AD61" s="188"/>
    </row>
    <row r="62" spans="1:30" s="187" customFormat="1" ht="11.45" customHeight="1">
      <c r="A62" s="250" t="s">
        <v>437</v>
      </c>
      <c r="B62" s="235" t="s">
        <v>65</v>
      </c>
      <c r="C62" s="281" t="s">
        <v>408</v>
      </c>
      <c r="D62" s="282"/>
      <c r="F62" s="279"/>
      <c r="G62" s="197"/>
      <c r="H62" s="197"/>
      <c r="I62" s="196"/>
      <c r="J62" s="196"/>
      <c r="K62" s="196"/>
      <c r="L62" s="188"/>
      <c r="M62" s="188"/>
      <c r="N62" s="188"/>
      <c r="O62" s="188"/>
      <c r="P62" s="188"/>
      <c r="Q62" s="188"/>
      <c r="R62" s="188"/>
      <c r="S62" s="190"/>
      <c r="T62" s="191"/>
      <c r="U62" s="190"/>
      <c r="V62" s="189"/>
      <c r="W62" s="188"/>
      <c r="X62" s="188"/>
      <c r="Y62" s="188"/>
      <c r="Z62" s="188"/>
      <c r="AA62" s="188"/>
      <c r="AB62" s="188"/>
      <c r="AC62" s="188"/>
      <c r="AD62" s="188"/>
    </row>
    <row r="63" spans="1:30" s="187" customFormat="1" ht="11.45" customHeight="1">
      <c r="A63" s="250"/>
      <c r="B63" s="235"/>
      <c r="C63" s="281" t="s">
        <v>597</v>
      </c>
      <c r="D63" s="282" t="s">
        <v>261</v>
      </c>
      <c r="E63" s="243" t="str">
        <f>IF(D62&lt;=C62,"COMPLIES","DOES NOT COMPLY")</f>
        <v>COMPLIES</v>
      </c>
      <c r="F63" s="279"/>
      <c r="G63" s="197"/>
      <c r="H63" s="197"/>
      <c r="I63" s="196"/>
      <c r="J63" s="196"/>
      <c r="K63" s="196"/>
      <c r="L63" s="188"/>
      <c r="M63" s="188"/>
      <c r="N63" s="188"/>
      <c r="O63" s="188"/>
      <c r="P63" s="188"/>
      <c r="Q63" s="188"/>
      <c r="R63" s="188"/>
      <c r="S63" s="190"/>
      <c r="T63" s="191"/>
      <c r="U63" s="190"/>
      <c r="V63" s="189"/>
      <c r="W63" s="188"/>
      <c r="X63" s="188"/>
      <c r="Y63" s="188"/>
      <c r="Z63" s="188"/>
      <c r="AA63" s="188"/>
      <c r="AB63" s="188"/>
      <c r="AC63" s="188"/>
      <c r="AD63" s="188"/>
    </row>
    <row r="64" spans="1:30" s="187" customFormat="1" ht="11.45" customHeight="1">
      <c r="A64" s="250"/>
      <c r="B64" s="235"/>
      <c r="C64" s="198"/>
      <c r="D64" s="281" t="s">
        <v>260</v>
      </c>
      <c r="E64" s="280"/>
      <c r="F64" s="279"/>
      <c r="G64" s="197"/>
      <c r="H64" s="197"/>
      <c r="I64" s="196"/>
      <c r="J64" s="196"/>
      <c r="K64" s="196"/>
      <c r="L64" s="188"/>
      <c r="M64" s="188"/>
      <c r="N64" s="188"/>
      <c r="O64" s="188"/>
      <c r="P64" s="188"/>
      <c r="Q64" s="188"/>
      <c r="R64" s="188"/>
      <c r="S64" s="190"/>
      <c r="T64" s="191"/>
      <c r="U64" s="190"/>
      <c r="V64" s="189"/>
      <c r="W64" s="188"/>
      <c r="X64" s="188"/>
      <c r="Y64" s="188"/>
      <c r="Z64" s="188"/>
      <c r="AA64" s="188"/>
      <c r="AB64" s="188"/>
      <c r="AC64" s="188"/>
      <c r="AD64" s="188"/>
    </row>
    <row r="65" spans="1:30" s="187" customFormat="1" ht="11.45" customHeight="1" thickBot="1">
      <c r="A65" s="248"/>
      <c r="B65" s="247" t="s">
        <v>14</v>
      </c>
      <c r="C65" s="246" t="s">
        <v>115</v>
      </c>
      <c r="D65" s="246" t="s">
        <v>116</v>
      </c>
      <c r="E65" s="246" t="s">
        <v>117</v>
      </c>
      <c r="F65" s="195"/>
      <c r="G65" s="197"/>
      <c r="H65" s="197"/>
      <c r="I65" s="196"/>
      <c r="J65" s="196"/>
      <c r="K65" s="196"/>
      <c r="L65" s="188"/>
      <c r="M65" s="188"/>
      <c r="N65" s="188"/>
      <c r="O65" s="188"/>
      <c r="P65" s="188"/>
      <c r="Q65" s="188"/>
      <c r="R65" s="188"/>
      <c r="S65" s="190"/>
      <c r="T65" s="191"/>
      <c r="U65" s="190"/>
      <c r="V65" s="189"/>
      <c r="W65" s="188"/>
      <c r="X65" s="188"/>
      <c r="Y65" s="188"/>
      <c r="Z65" s="188"/>
      <c r="AA65" s="188"/>
      <c r="AB65" s="188"/>
      <c r="AC65" s="188"/>
      <c r="AD65" s="188"/>
    </row>
    <row r="66" spans="1:30" s="187" customFormat="1" ht="11.45" customHeight="1">
      <c r="A66" s="250" t="s">
        <v>67</v>
      </c>
      <c r="B66" s="235" t="s">
        <v>15</v>
      </c>
      <c r="C66" s="198" t="s">
        <v>13</v>
      </c>
      <c r="D66" s="195" t="s">
        <v>445</v>
      </c>
      <c r="E66" s="213" t="s">
        <v>152</v>
      </c>
      <c r="F66" s="195"/>
      <c r="L66" s="188"/>
      <c r="M66" s="188"/>
      <c r="N66" s="188"/>
      <c r="O66" s="188"/>
      <c r="P66" s="188"/>
      <c r="Q66" s="188"/>
      <c r="R66" s="188"/>
      <c r="S66" s="190"/>
      <c r="T66" s="191"/>
      <c r="U66" s="190"/>
      <c r="V66" s="189"/>
      <c r="W66" s="188"/>
      <c r="X66" s="188"/>
      <c r="Y66" s="188"/>
      <c r="Z66" s="188"/>
      <c r="AA66" s="188"/>
      <c r="AB66" s="188"/>
      <c r="AC66" s="188"/>
      <c r="AD66" s="188"/>
    </row>
    <row r="67" spans="1:30" s="187" customFormat="1" ht="11.45" customHeight="1">
      <c r="A67" s="250" t="s">
        <v>68</v>
      </c>
      <c r="B67" s="235" t="s">
        <v>17</v>
      </c>
      <c r="C67" s="198" t="s">
        <v>13</v>
      </c>
      <c r="D67" s="195" t="s">
        <v>16</v>
      </c>
      <c r="E67" s="213" t="s">
        <v>152</v>
      </c>
      <c r="F67" s="195"/>
      <c r="L67" s="188"/>
      <c r="M67" s="188"/>
      <c r="N67" s="188"/>
      <c r="O67" s="188"/>
      <c r="P67" s="188"/>
      <c r="Q67" s="188"/>
      <c r="R67" s="188"/>
      <c r="S67" s="190"/>
      <c r="T67" s="191"/>
      <c r="U67" s="190"/>
      <c r="V67" s="189"/>
      <c r="W67" s="188"/>
      <c r="X67" s="188"/>
      <c r="Y67" s="188"/>
      <c r="Z67" s="188"/>
      <c r="AA67" s="188"/>
      <c r="AB67" s="188"/>
      <c r="AC67" s="188"/>
      <c r="AD67" s="188"/>
    </row>
    <row r="68" spans="1:30" s="187" customFormat="1" ht="11.45" customHeight="1">
      <c r="A68" s="250" t="s">
        <v>107</v>
      </c>
      <c r="B68" s="235" t="s">
        <v>66</v>
      </c>
      <c r="C68" s="198" t="s">
        <v>108</v>
      </c>
      <c r="D68" s="195" t="s">
        <v>446</v>
      </c>
      <c r="E68" s="213" t="s">
        <v>152</v>
      </c>
      <c r="F68" s="195"/>
      <c r="L68" s="188"/>
      <c r="M68" s="188"/>
      <c r="N68" s="194"/>
      <c r="O68" s="188"/>
      <c r="P68" s="188"/>
      <c r="Q68" s="188"/>
      <c r="R68" s="188"/>
      <c r="S68" s="190"/>
      <c r="T68" s="191"/>
      <c r="U68" s="190"/>
      <c r="V68" s="189"/>
      <c r="W68" s="188"/>
      <c r="X68" s="188"/>
      <c r="Y68" s="188"/>
      <c r="Z68" s="188"/>
      <c r="AA68" s="188"/>
      <c r="AB68" s="188"/>
      <c r="AC68" s="188"/>
      <c r="AD68" s="188"/>
    </row>
    <row r="69" spans="1:30" s="187" customFormat="1" ht="11.45" customHeight="1">
      <c r="A69" s="250"/>
      <c r="B69" s="235"/>
      <c r="C69" s="198" t="s">
        <v>109</v>
      </c>
      <c r="D69" s="195"/>
      <c r="E69" s="198"/>
      <c r="F69" s="195"/>
      <c r="L69" s="188"/>
      <c r="M69" s="278"/>
      <c r="N69" s="188"/>
      <c r="O69" s="194"/>
      <c r="P69" s="188"/>
      <c r="Q69" s="188"/>
      <c r="R69" s="188"/>
      <c r="S69" s="190"/>
      <c r="T69" s="191"/>
      <c r="U69" s="190"/>
      <c r="V69" s="189"/>
      <c r="W69" s="188"/>
      <c r="X69" s="188"/>
      <c r="Y69" s="188"/>
      <c r="Z69" s="188"/>
      <c r="AA69" s="188"/>
      <c r="AB69" s="188"/>
      <c r="AC69" s="188"/>
      <c r="AD69" s="188"/>
    </row>
    <row r="70" spans="1:30" s="187" customFormat="1" ht="11.45" customHeight="1">
      <c r="A70" s="250" t="s">
        <v>110</v>
      </c>
      <c r="B70" s="235" t="s">
        <v>111</v>
      </c>
      <c r="C70" s="271">
        <v>30</v>
      </c>
      <c r="D70" s="271">
        <v>30</v>
      </c>
      <c r="E70" s="243" t="str">
        <f>IF(D70&lt;=C70,"COMPLIES","DOES NOT COMPLY")</f>
        <v>COMPLIES</v>
      </c>
      <c r="F70" s="195"/>
      <c r="L70" s="188"/>
      <c r="M70" s="278"/>
      <c r="N70" s="188"/>
      <c r="O70" s="194"/>
      <c r="P70" s="188"/>
      <c r="Q70" s="188"/>
      <c r="R70" s="188"/>
      <c r="S70" s="190"/>
      <c r="T70" s="191"/>
      <c r="U70" s="190"/>
      <c r="V70" s="189"/>
      <c r="W70" s="188"/>
      <c r="X70" s="188"/>
      <c r="Y70" s="188"/>
      <c r="Z70" s="188"/>
      <c r="AA70" s="188"/>
      <c r="AB70" s="188"/>
      <c r="AC70" s="188"/>
      <c r="AD70" s="188"/>
    </row>
    <row r="71" spans="1:30" s="187" customFormat="1" ht="11.45" customHeight="1">
      <c r="A71" s="250" t="s">
        <v>153</v>
      </c>
      <c r="B71" s="235" t="s">
        <v>154</v>
      </c>
      <c r="C71" s="355" t="s">
        <v>155</v>
      </c>
      <c r="D71" s="271"/>
      <c r="E71" s="243"/>
      <c r="F71" s="195"/>
      <c r="L71" s="188"/>
      <c r="M71" s="278"/>
      <c r="N71" s="188"/>
      <c r="O71" s="194"/>
      <c r="P71" s="188"/>
      <c r="Q71" s="188"/>
      <c r="R71" s="188"/>
      <c r="S71" s="190"/>
      <c r="T71" s="191"/>
      <c r="U71" s="190"/>
      <c r="V71" s="189"/>
      <c r="W71" s="188"/>
      <c r="X71" s="188"/>
      <c r="Y71" s="188"/>
      <c r="Z71" s="188"/>
      <c r="AA71" s="188"/>
      <c r="AB71" s="188"/>
      <c r="AC71" s="188"/>
      <c r="AD71" s="188"/>
    </row>
    <row r="72" spans="1:30" s="187" customFormat="1" ht="11.45" customHeight="1">
      <c r="A72" s="250"/>
      <c r="B72" s="235"/>
      <c r="C72" s="355"/>
      <c r="D72" s="271"/>
      <c r="E72" s="243"/>
      <c r="F72" s="195"/>
      <c r="L72" s="188"/>
      <c r="M72" s="278"/>
      <c r="N72" s="188"/>
      <c r="O72" s="194"/>
      <c r="P72" s="188"/>
      <c r="Q72" s="188"/>
      <c r="R72" s="188"/>
      <c r="S72" s="190"/>
      <c r="T72" s="191"/>
      <c r="U72" s="190"/>
      <c r="V72" s="189"/>
      <c r="W72" s="188"/>
      <c r="X72" s="188"/>
      <c r="Y72" s="188"/>
      <c r="Z72" s="188"/>
      <c r="AA72" s="188"/>
      <c r="AB72" s="188"/>
      <c r="AC72" s="188"/>
      <c r="AD72" s="188"/>
    </row>
    <row r="73" spans="1:30" s="187" customFormat="1" ht="11.45" customHeight="1">
      <c r="A73" s="250"/>
      <c r="B73" s="235"/>
      <c r="C73" s="198"/>
      <c r="D73" s="195"/>
      <c r="E73" s="198"/>
      <c r="F73" s="195"/>
      <c r="L73" s="188"/>
      <c r="M73" s="278"/>
      <c r="N73" s="188"/>
      <c r="O73" s="194"/>
      <c r="P73" s="188"/>
      <c r="Q73" s="188"/>
      <c r="R73" s="188"/>
      <c r="S73" s="190"/>
      <c r="T73" s="191"/>
      <c r="U73" s="190"/>
      <c r="V73" s="189"/>
      <c r="W73" s="188"/>
      <c r="X73" s="188"/>
      <c r="Y73" s="188"/>
      <c r="Z73" s="188"/>
      <c r="AA73" s="188"/>
      <c r="AB73" s="188"/>
      <c r="AC73" s="188"/>
      <c r="AD73" s="188"/>
    </row>
    <row r="74" spans="1:30" s="187" customFormat="1" ht="11.45" customHeight="1" thickBot="1">
      <c r="A74" s="248"/>
      <c r="B74" s="247" t="s">
        <v>18</v>
      </c>
      <c r="C74" s="246" t="s">
        <v>115</v>
      </c>
      <c r="D74" s="246" t="s">
        <v>116</v>
      </c>
      <c r="E74" s="246" t="s">
        <v>117</v>
      </c>
      <c r="F74" s="195"/>
      <c r="L74" s="188"/>
      <c r="M74" s="191"/>
      <c r="N74" s="188"/>
      <c r="O74" s="194"/>
      <c r="P74" s="188"/>
      <c r="Q74" s="188"/>
      <c r="R74" s="188"/>
      <c r="S74" s="190"/>
      <c r="T74" s="191"/>
      <c r="U74" s="190"/>
      <c r="V74" s="189"/>
      <c r="W74" s="188"/>
      <c r="X74" s="188"/>
      <c r="Y74" s="188"/>
      <c r="Z74" s="188"/>
      <c r="AA74" s="188"/>
      <c r="AB74" s="188"/>
      <c r="AC74" s="188"/>
      <c r="AD74" s="188"/>
    </row>
    <row r="75" spans="1:30" s="187" customFormat="1" ht="15">
      <c r="A75" s="277" t="s">
        <v>19</v>
      </c>
      <c r="B75" s="235" t="s">
        <v>20</v>
      </c>
      <c r="C75" s="235" t="s">
        <v>72</v>
      </c>
      <c r="D75" s="195"/>
      <c r="E75" s="195" t="s">
        <v>71</v>
      </c>
      <c r="F75" s="195"/>
      <c r="L75" s="188"/>
      <c r="M75" s="191"/>
      <c r="N75" s="188"/>
      <c r="O75" s="194"/>
      <c r="P75" s="188"/>
      <c r="Q75" s="188"/>
      <c r="R75" s="188"/>
      <c r="S75" s="190"/>
      <c r="T75" s="191"/>
      <c r="U75" s="190"/>
      <c r="V75" s="189"/>
      <c r="W75" s="188"/>
      <c r="X75" s="188"/>
      <c r="Y75" s="188"/>
      <c r="Z75" s="188"/>
      <c r="AA75" s="188"/>
      <c r="AB75" s="188"/>
      <c r="AC75" s="188"/>
      <c r="AD75" s="188"/>
    </row>
    <row r="76" spans="1:30" s="187" customFormat="1" ht="146.25">
      <c r="A76" s="242" t="s">
        <v>21</v>
      </c>
      <c r="B76" s="235" t="s">
        <v>139</v>
      </c>
      <c r="C76" s="198" t="s">
        <v>246</v>
      </c>
      <c r="D76" s="195" t="s">
        <v>245</v>
      </c>
      <c r="E76" s="243" t="s">
        <v>152</v>
      </c>
      <c r="F76" s="195"/>
      <c r="G76" s="197"/>
      <c r="H76" s="197"/>
      <c r="I76" s="196"/>
      <c r="J76" s="196"/>
      <c r="K76" s="196"/>
      <c r="L76" s="188"/>
      <c r="M76" s="194"/>
      <c r="N76" s="194"/>
      <c r="O76" s="188"/>
      <c r="P76" s="188"/>
      <c r="Q76" s="188"/>
      <c r="R76" s="188"/>
      <c r="S76" s="190"/>
      <c r="T76" s="191"/>
      <c r="U76" s="190"/>
      <c r="V76" s="189"/>
      <c r="W76" s="188"/>
      <c r="X76" s="188"/>
      <c r="Y76" s="188"/>
      <c r="Z76" s="188"/>
      <c r="AA76" s="188"/>
      <c r="AB76" s="188"/>
      <c r="AC76" s="188"/>
      <c r="AD76" s="188"/>
    </row>
    <row r="77" spans="1:30" s="187" customFormat="1" ht="15">
      <c r="A77" s="242" t="s">
        <v>21</v>
      </c>
      <c r="B77" s="235" t="s">
        <v>78</v>
      </c>
      <c r="C77" s="252" t="s">
        <v>77</v>
      </c>
      <c r="D77" s="271">
        <v>30</v>
      </c>
      <c r="E77" s="243" t="s">
        <v>152</v>
      </c>
      <c r="F77" s="195"/>
      <c r="G77" s="197"/>
      <c r="H77" s="197"/>
      <c r="I77" s="196"/>
      <c r="J77" s="196"/>
      <c r="K77" s="196"/>
      <c r="L77" s="188"/>
      <c r="M77" s="194"/>
      <c r="N77" s="194"/>
      <c r="O77" s="188"/>
      <c r="P77" s="188"/>
      <c r="Q77" s="188"/>
      <c r="R77" s="188"/>
      <c r="S77" s="190"/>
      <c r="T77" s="191"/>
      <c r="U77" s="190"/>
      <c r="V77" s="189"/>
      <c r="W77" s="188"/>
      <c r="X77" s="188"/>
      <c r="Y77" s="188"/>
      <c r="Z77" s="188"/>
      <c r="AA77" s="188"/>
      <c r="AB77" s="188"/>
      <c r="AC77" s="188"/>
      <c r="AD77" s="188"/>
    </row>
    <row r="78" spans="1:30" s="273" customFormat="1" ht="23.25" customHeight="1">
      <c r="A78" s="349" t="s">
        <v>112</v>
      </c>
      <c r="B78" s="235" t="s">
        <v>73</v>
      </c>
      <c r="C78" s="271" t="s">
        <v>441</v>
      </c>
      <c r="D78" s="271" t="s">
        <v>439</v>
      </c>
      <c r="E78" s="243" t="s">
        <v>152</v>
      </c>
      <c r="F78" s="195"/>
      <c r="G78" s="197"/>
      <c r="H78" s="197"/>
      <c r="I78" s="196"/>
      <c r="J78" s="196"/>
      <c r="K78" s="196"/>
      <c r="L78" s="195"/>
      <c r="M78" s="195"/>
      <c r="N78" s="195"/>
      <c r="O78" s="195"/>
      <c r="P78" s="195"/>
      <c r="Q78" s="195"/>
      <c r="R78" s="195"/>
      <c r="S78" s="274"/>
      <c r="T78" s="275"/>
      <c r="U78" s="274"/>
      <c r="V78" s="200"/>
      <c r="W78" s="195"/>
      <c r="X78" s="195"/>
      <c r="Y78" s="195"/>
      <c r="Z78" s="195"/>
      <c r="AA78" s="195"/>
      <c r="AB78" s="195"/>
      <c r="AC78" s="195"/>
      <c r="AD78" s="195"/>
    </row>
    <row r="79" spans="1:30" s="273" customFormat="1" ht="24.2" customHeight="1">
      <c r="A79" s="349"/>
      <c r="B79" s="198" t="s">
        <v>74</v>
      </c>
      <c r="C79" s="271" t="s">
        <v>440</v>
      </c>
      <c r="D79" s="271" t="s">
        <v>440</v>
      </c>
      <c r="E79" s="243" t="str">
        <f>IF(D79&lt;=C79,"COMPLIES","DOES NOT COMPLY")</f>
        <v>COMPLIES</v>
      </c>
      <c r="F79" s="195"/>
      <c r="G79" s="276"/>
      <c r="H79" s="276"/>
      <c r="I79" s="196"/>
      <c r="J79" s="196"/>
      <c r="K79" s="196"/>
      <c r="L79" s="195"/>
      <c r="M79" s="195"/>
      <c r="N79" s="195"/>
      <c r="O79" s="195"/>
      <c r="P79" s="195"/>
      <c r="Q79" s="195"/>
      <c r="R79" s="195"/>
      <c r="S79" s="274"/>
      <c r="T79" s="275"/>
      <c r="U79" s="274"/>
      <c r="V79" s="200"/>
      <c r="W79" s="195"/>
      <c r="X79" s="195"/>
      <c r="Y79" s="195"/>
      <c r="Z79" s="195"/>
      <c r="AA79" s="195"/>
      <c r="AB79" s="195"/>
      <c r="AC79" s="195"/>
      <c r="AD79" s="195"/>
    </row>
    <row r="80" spans="1:30" s="187" customFormat="1" ht="15">
      <c r="A80" s="242" t="s">
        <v>23</v>
      </c>
      <c r="B80" s="235" t="s">
        <v>75</v>
      </c>
      <c r="C80" s="271" t="s">
        <v>442</v>
      </c>
      <c r="D80" s="271" t="s">
        <v>443</v>
      </c>
      <c r="E80" s="243" t="str">
        <f>IF(D80&lt;=C80,"COMPLIES","DOES NOT COMPLY")</f>
        <v>COMPLIES</v>
      </c>
      <c r="F80" s="195"/>
      <c r="G80" s="253"/>
      <c r="H80" s="253"/>
      <c r="I80" s="196"/>
      <c r="J80" s="196"/>
      <c r="K80" s="196"/>
      <c r="L80" s="188"/>
      <c r="M80" s="188"/>
      <c r="N80" s="188"/>
      <c r="O80" s="188"/>
      <c r="P80" s="188"/>
      <c r="Q80" s="188"/>
      <c r="R80" s="188"/>
      <c r="S80" s="190"/>
      <c r="T80" s="191"/>
      <c r="U80" s="190"/>
      <c r="V80" s="189"/>
      <c r="W80" s="188"/>
      <c r="X80" s="188"/>
      <c r="Y80" s="188"/>
      <c r="Z80" s="188"/>
      <c r="AA80" s="188"/>
      <c r="AB80" s="188"/>
      <c r="AC80" s="188"/>
      <c r="AD80" s="188"/>
    </row>
    <row r="81" spans="1:30" s="187" customFormat="1" ht="15">
      <c r="A81" s="242" t="s">
        <v>23</v>
      </c>
      <c r="B81" s="235" t="s">
        <v>24</v>
      </c>
      <c r="C81" s="272">
        <v>16</v>
      </c>
      <c r="D81" s="272">
        <v>14</v>
      </c>
      <c r="E81" s="243" t="str">
        <f>IF(D81&lt;=C81,"COMPLIES","DOES NOT COMPLY")</f>
        <v>COMPLIES</v>
      </c>
      <c r="F81" s="195"/>
      <c r="G81" s="253"/>
      <c r="H81" s="253"/>
      <c r="I81" s="196"/>
      <c r="J81" s="196"/>
      <c r="K81" s="196"/>
      <c r="L81" s="188"/>
      <c r="M81" s="188"/>
      <c r="N81" s="188"/>
      <c r="O81" s="188"/>
      <c r="P81" s="188"/>
      <c r="Q81" s="188"/>
      <c r="R81" s="188"/>
      <c r="S81" s="190"/>
      <c r="T81" s="191"/>
      <c r="U81" s="190"/>
      <c r="V81" s="189"/>
      <c r="W81" s="188"/>
      <c r="X81" s="188"/>
      <c r="Y81" s="188"/>
      <c r="Z81" s="188"/>
      <c r="AA81" s="188"/>
      <c r="AB81" s="188"/>
      <c r="AC81" s="188"/>
      <c r="AD81" s="188"/>
    </row>
    <row r="82" spans="1:30" s="187" customFormat="1" ht="15">
      <c r="A82" s="242" t="s">
        <v>23</v>
      </c>
      <c r="B82" s="235" t="s">
        <v>25</v>
      </c>
      <c r="C82" s="198" t="s">
        <v>76</v>
      </c>
      <c r="D82" s="271" t="s">
        <v>444</v>
      </c>
      <c r="E82" s="243" t="str">
        <f>IF(D82&lt;=C82,"COMPLIES","DOES NOT COMPLY")</f>
        <v>COMPLIES</v>
      </c>
      <c r="F82" s="195"/>
      <c r="G82" s="253"/>
      <c r="H82" s="253"/>
      <c r="I82" s="196"/>
      <c r="J82" s="196"/>
      <c r="K82" s="196"/>
      <c r="L82" s="188"/>
      <c r="M82" s="188"/>
      <c r="N82" s="188"/>
      <c r="O82" s="188"/>
      <c r="P82" s="188"/>
      <c r="Q82" s="188"/>
      <c r="R82" s="188"/>
      <c r="S82" s="190"/>
      <c r="T82" s="191"/>
      <c r="U82" s="190"/>
      <c r="V82" s="189"/>
      <c r="W82" s="188"/>
      <c r="X82" s="188"/>
      <c r="Y82" s="188"/>
      <c r="Z82" s="188"/>
      <c r="AA82" s="188"/>
      <c r="AB82" s="188"/>
      <c r="AC82" s="188"/>
      <c r="AD82" s="188"/>
    </row>
    <row r="83" spans="1:30" s="187" customFormat="1" ht="69.75" customHeight="1">
      <c r="A83" s="258" t="s">
        <v>22</v>
      </c>
      <c r="B83" s="257" t="s">
        <v>139</v>
      </c>
      <c r="C83" s="356" t="s">
        <v>243</v>
      </c>
      <c r="D83" s="255" t="s">
        <v>224</v>
      </c>
      <c r="E83" s="254" t="s">
        <v>152</v>
      </c>
      <c r="F83" s="195"/>
      <c r="G83" s="198" t="s">
        <v>223</v>
      </c>
      <c r="H83" s="253"/>
      <c r="I83" s="196"/>
      <c r="J83" s="196"/>
      <c r="K83" s="196"/>
      <c r="L83" s="188"/>
      <c r="M83" s="188"/>
      <c r="N83" s="188"/>
      <c r="O83" s="188"/>
      <c r="P83" s="188"/>
      <c r="Q83" s="188"/>
      <c r="R83" s="188"/>
      <c r="S83" s="190"/>
      <c r="T83" s="191"/>
      <c r="U83" s="190"/>
      <c r="V83" s="189"/>
      <c r="W83" s="188"/>
      <c r="X83" s="188"/>
      <c r="Y83" s="188"/>
      <c r="Z83" s="188"/>
      <c r="AA83" s="188"/>
      <c r="AB83" s="188"/>
      <c r="AC83" s="188"/>
      <c r="AD83" s="188"/>
    </row>
    <row r="84" spans="1:30" s="187" customFormat="1" ht="15.2" customHeight="1">
      <c r="A84" s="242"/>
      <c r="B84" s="235"/>
      <c r="C84" s="357"/>
      <c r="D84" s="270">
        <v>18269</v>
      </c>
      <c r="E84" s="243"/>
      <c r="F84" s="195"/>
      <c r="G84" s="253"/>
      <c r="H84" s="253"/>
      <c r="I84" s="196"/>
      <c r="J84" s="196"/>
      <c r="K84" s="196"/>
      <c r="L84" s="188"/>
      <c r="M84" s="188"/>
      <c r="N84" s="188"/>
      <c r="O84" s="188"/>
      <c r="P84" s="188"/>
      <c r="Q84" s="188"/>
      <c r="R84" s="188"/>
      <c r="S84" s="190"/>
      <c r="T84" s="191"/>
      <c r="U84" s="190"/>
      <c r="V84" s="189"/>
      <c r="W84" s="188"/>
      <c r="X84" s="188"/>
      <c r="Y84" s="188"/>
      <c r="Z84" s="188"/>
      <c r="AA84" s="188"/>
      <c r="AB84" s="188"/>
      <c r="AC84" s="188"/>
      <c r="AD84" s="188"/>
    </row>
    <row r="85" spans="1:30" s="187" customFormat="1" ht="15">
      <c r="A85" s="242"/>
      <c r="B85" s="235"/>
      <c r="C85" s="357"/>
      <c r="D85" s="269">
        <v>8704</v>
      </c>
      <c r="E85" s="243"/>
      <c r="F85" s="195"/>
      <c r="G85" s="253"/>
      <c r="H85" s="253"/>
      <c r="I85" s="196"/>
      <c r="J85" s="196"/>
      <c r="K85" s="196"/>
      <c r="L85" s="188"/>
      <c r="M85" s="188"/>
      <c r="N85" s="188"/>
      <c r="O85" s="188"/>
      <c r="P85" s="188"/>
      <c r="Q85" s="188"/>
      <c r="R85" s="188"/>
      <c r="S85" s="190"/>
      <c r="T85" s="191"/>
      <c r="U85" s="190"/>
      <c r="V85" s="189"/>
      <c r="W85" s="188"/>
      <c r="X85" s="188"/>
      <c r="Y85" s="188"/>
      <c r="Z85" s="188"/>
      <c r="AA85" s="188"/>
      <c r="AB85" s="188"/>
      <c r="AC85" s="188"/>
      <c r="AD85" s="188"/>
    </row>
    <row r="86" spans="1:30" s="187" customFormat="1" ht="58.5" customHeight="1">
      <c r="A86" s="262"/>
      <c r="B86" s="268"/>
      <c r="C86" s="358"/>
      <c r="D86" s="267">
        <f>D85/D84</f>
        <v>0.47643549181673872</v>
      </c>
      <c r="E86" s="259" t="str">
        <f>IF(D86&gt;=0.2,"COMPLIES","DOES NOT COMPLY")</f>
        <v>COMPLIES</v>
      </c>
      <c r="F86" s="195"/>
      <c r="G86" s="253"/>
      <c r="H86" s="253"/>
      <c r="I86" s="196"/>
      <c r="J86" s="196"/>
      <c r="K86" s="196"/>
      <c r="L86" s="188"/>
      <c r="M86" s="188"/>
      <c r="N86" s="188"/>
      <c r="O86" s="188"/>
      <c r="P86" s="188"/>
      <c r="Q86" s="188"/>
      <c r="R86" s="188"/>
      <c r="S86" s="190"/>
      <c r="T86" s="191"/>
      <c r="U86" s="190"/>
      <c r="V86" s="189"/>
      <c r="W86" s="188"/>
      <c r="X86" s="188"/>
      <c r="Y86" s="188"/>
      <c r="Z86" s="188"/>
      <c r="AA86" s="188"/>
      <c r="AB86" s="188"/>
      <c r="AC86" s="188"/>
      <c r="AD86" s="188"/>
    </row>
    <row r="87" spans="1:30" s="187" customFormat="1" ht="45">
      <c r="A87" s="258" t="s">
        <v>156</v>
      </c>
      <c r="B87" s="257" t="s">
        <v>157</v>
      </c>
      <c r="C87" s="266" t="s">
        <v>229</v>
      </c>
      <c r="D87" s="255" t="s">
        <v>228</v>
      </c>
      <c r="E87" s="254" t="s">
        <v>152</v>
      </c>
      <c r="F87" s="195"/>
      <c r="G87" s="253"/>
      <c r="H87" s="253"/>
      <c r="I87" s="196"/>
      <c r="J87" s="196"/>
      <c r="K87" s="196"/>
      <c r="L87" s="188"/>
      <c r="M87" s="188"/>
      <c r="N87" s="188"/>
      <c r="O87" s="188"/>
      <c r="P87" s="188"/>
      <c r="Q87" s="188"/>
      <c r="R87" s="188"/>
      <c r="S87" s="190"/>
      <c r="T87" s="191"/>
      <c r="U87" s="190"/>
      <c r="V87" s="189"/>
      <c r="W87" s="188"/>
      <c r="X87" s="188"/>
      <c r="Y87" s="188"/>
      <c r="Z87" s="188"/>
      <c r="AA87" s="188"/>
      <c r="AB87" s="188"/>
      <c r="AC87" s="188"/>
      <c r="AD87" s="188"/>
    </row>
    <row r="88" spans="1:30" s="187" customFormat="1" ht="15.2" customHeight="1">
      <c r="A88" s="258" t="s">
        <v>148</v>
      </c>
      <c r="B88" s="257" t="s">
        <v>149</v>
      </c>
      <c r="C88" s="265" t="s">
        <v>150</v>
      </c>
      <c r="D88" s="360" t="s">
        <v>262</v>
      </c>
      <c r="E88" s="254" t="s">
        <v>152</v>
      </c>
      <c r="F88" s="195"/>
      <c r="G88" s="253"/>
      <c r="H88" s="253"/>
      <c r="I88" s="196"/>
      <c r="J88" s="196"/>
      <c r="K88" s="196"/>
      <c r="L88" s="188"/>
      <c r="M88" s="188"/>
      <c r="N88" s="188"/>
      <c r="O88" s="188"/>
      <c r="P88" s="188"/>
      <c r="Q88" s="188"/>
      <c r="R88" s="188"/>
      <c r="S88" s="190"/>
      <c r="T88" s="191"/>
      <c r="U88" s="190"/>
      <c r="V88" s="189"/>
      <c r="W88" s="188"/>
      <c r="X88" s="188"/>
      <c r="Y88" s="188"/>
      <c r="Z88" s="188"/>
      <c r="AA88" s="188"/>
      <c r="AB88" s="188"/>
      <c r="AC88" s="188"/>
      <c r="AD88" s="188"/>
    </row>
    <row r="89" spans="1:30" s="187" customFormat="1" ht="15">
      <c r="A89" s="242"/>
      <c r="C89" s="354" t="s">
        <v>151</v>
      </c>
      <c r="D89" s="355"/>
      <c r="F89" s="195"/>
      <c r="G89" s="253"/>
      <c r="H89" s="253"/>
      <c r="I89" s="196"/>
      <c r="J89" s="196"/>
      <c r="K89" s="196"/>
      <c r="L89" s="188"/>
      <c r="M89" s="188"/>
      <c r="N89" s="188"/>
      <c r="O89" s="188"/>
      <c r="P89" s="188"/>
      <c r="Q89" s="188"/>
      <c r="R89" s="188"/>
      <c r="S89" s="190"/>
      <c r="T89" s="191"/>
      <c r="U89" s="190"/>
      <c r="V89" s="189"/>
      <c r="W89" s="188"/>
      <c r="X89" s="188"/>
      <c r="Y89" s="188"/>
      <c r="Z89" s="188"/>
      <c r="AA89" s="188"/>
      <c r="AB89" s="188"/>
      <c r="AC89" s="188"/>
      <c r="AD89" s="188"/>
    </row>
    <row r="90" spans="1:30" s="187" customFormat="1" ht="15">
      <c r="A90" s="242"/>
      <c r="C90" s="354"/>
      <c r="D90" s="264" t="s">
        <v>247</v>
      </c>
      <c r="E90" s="243" t="s">
        <v>152</v>
      </c>
      <c r="F90" s="195"/>
      <c r="G90" s="253"/>
      <c r="H90" s="253"/>
      <c r="I90" s="196"/>
      <c r="J90" s="196"/>
      <c r="K90" s="196"/>
      <c r="L90" s="188"/>
      <c r="M90" s="188"/>
      <c r="N90" s="188"/>
      <c r="O90" s="188"/>
      <c r="P90" s="188"/>
      <c r="Q90" s="188"/>
      <c r="R90" s="188"/>
      <c r="S90" s="190"/>
      <c r="T90" s="191"/>
      <c r="U90" s="190"/>
      <c r="V90" s="189"/>
      <c r="W90" s="188"/>
      <c r="X90" s="188"/>
      <c r="Y90" s="188"/>
      <c r="Z90" s="188"/>
      <c r="AA90" s="188"/>
      <c r="AB90" s="188"/>
      <c r="AC90" s="188"/>
      <c r="AD90" s="188"/>
    </row>
    <row r="91" spans="1:30" s="187" customFormat="1" ht="16.5" customHeight="1">
      <c r="A91" s="258" t="s">
        <v>232</v>
      </c>
      <c r="B91" s="353" t="s">
        <v>230</v>
      </c>
      <c r="C91" s="256" t="s">
        <v>231</v>
      </c>
      <c r="D91" s="263" t="s">
        <v>248</v>
      </c>
      <c r="E91" s="243" t="s">
        <v>152</v>
      </c>
      <c r="F91" s="195"/>
      <c r="G91" s="253"/>
      <c r="H91" s="253"/>
      <c r="I91" s="196"/>
      <c r="J91" s="196"/>
      <c r="K91" s="196"/>
      <c r="L91" s="188"/>
      <c r="M91" s="188"/>
      <c r="N91" s="188"/>
      <c r="O91" s="188"/>
      <c r="P91" s="188"/>
      <c r="Q91" s="188"/>
      <c r="R91" s="188"/>
      <c r="S91" s="190"/>
      <c r="T91" s="191"/>
      <c r="U91" s="190"/>
      <c r="V91" s="189"/>
      <c r="W91" s="188"/>
      <c r="X91" s="188"/>
      <c r="Y91" s="188"/>
      <c r="Z91" s="188"/>
      <c r="AA91" s="188"/>
      <c r="AB91" s="188"/>
      <c r="AC91" s="188"/>
      <c r="AD91" s="188"/>
    </row>
    <row r="92" spans="1:30" s="187" customFormat="1" ht="15">
      <c r="A92" s="262"/>
      <c r="B92" s="361"/>
      <c r="C92" s="261"/>
      <c r="D92" s="260"/>
      <c r="E92" s="259"/>
      <c r="F92" s="195"/>
      <c r="G92" s="253"/>
      <c r="H92" s="253"/>
      <c r="I92" s="196"/>
      <c r="J92" s="196"/>
      <c r="K92" s="196"/>
      <c r="L92" s="188"/>
      <c r="M92" s="188"/>
      <c r="N92" s="188"/>
      <c r="O92" s="188"/>
      <c r="P92" s="188"/>
      <c r="Q92" s="188"/>
      <c r="R92" s="188"/>
      <c r="S92" s="190"/>
      <c r="T92" s="191"/>
      <c r="U92" s="190"/>
      <c r="V92" s="189"/>
      <c r="W92" s="188"/>
      <c r="X92" s="188"/>
      <c r="Y92" s="188"/>
      <c r="Z92" s="188"/>
      <c r="AA92" s="188"/>
      <c r="AB92" s="188"/>
      <c r="AC92" s="188"/>
      <c r="AD92" s="188"/>
    </row>
    <row r="93" spans="1:30" s="187" customFormat="1" ht="15">
      <c r="A93" s="258" t="s">
        <v>147</v>
      </c>
      <c r="B93" s="257" t="s">
        <v>145</v>
      </c>
      <c r="C93" s="353" t="s">
        <v>146</v>
      </c>
      <c r="D93" s="255" t="s">
        <v>249</v>
      </c>
      <c r="E93" s="254" t="s">
        <v>152</v>
      </c>
      <c r="F93" s="195"/>
      <c r="G93" s="253"/>
      <c r="H93" s="253"/>
      <c r="I93" s="196"/>
      <c r="J93" s="196"/>
      <c r="K93" s="196"/>
      <c r="L93" s="188"/>
      <c r="M93" s="188"/>
      <c r="N93" s="188"/>
      <c r="O93" s="188"/>
      <c r="P93" s="188"/>
      <c r="Q93" s="188"/>
      <c r="R93" s="188"/>
      <c r="S93" s="190"/>
      <c r="T93" s="191"/>
      <c r="U93" s="190"/>
      <c r="V93" s="189"/>
      <c r="W93" s="188"/>
      <c r="X93" s="188"/>
      <c r="Y93" s="188"/>
      <c r="Z93" s="188"/>
      <c r="AA93" s="188"/>
      <c r="AB93" s="188"/>
      <c r="AC93" s="188"/>
      <c r="AD93" s="188"/>
    </row>
    <row r="94" spans="1:30" s="187" customFormat="1" ht="15">
      <c r="A94" s="242"/>
      <c r="C94" s="354"/>
      <c r="D94" s="195"/>
      <c r="E94" s="195"/>
      <c r="F94" s="195"/>
      <c r="G94" s="253"/>
      <c r="H94" s="253"/>
      <c r="I94" s="196"/>
      <c r="J94" s="196"/>
      <c r="K94" s="196"/>
      <c r="L94" s="188"/>
      <c r="M94" s="188"/>
      <c r="N94" s="188"/>
      <c r="O94" s="188"/>
      <c r="P94" s="188"/>
      <c r="Q94" s="188"/>
      <c r="R94" s="188"/>
      <c r="S94" s="190"/>
      <c r="T94" s="191"/>
      <c r="U94" s="190"/>
      <c r="V94" s="189"/>
      <c r="W94" s="188"/>
      <c r="X94" s="188"/>
      <c r="Y94" s="188"/>
      <c r="Z94" s="188"/>
      <c r="AA94" s="188"/>
      <c r="AB94" s="188"/>
      <c r="AC94" s="188"/>
      <c r="AD94" s="188"/>
    </row>
    <row r="95" spans="1:30" s="187" customFormat="1" ht="15">
      <c r="A95" s="242"/>
      <c r="C95" s="354"/>
      <c r="D95" s="195"/>
      <c r="E95" s="195"/>
      <c r="F95" s="195"/>
      <c r="G95" s="253"/>
      <c r="H95" s="253"/>
      <c r="I95" s="196"/>
      <c r="J95" s="196"/>
      <c r="K95" s="196"/>
      <c r="L95" s="188"/>
      <c r="M95" s="188"/>
      <c r="N95" s="188"/>
      <c r="O95" s="188"/>
      <c r="P95" s="188"/>
      <c r="Q95" s="188"/>
      <c r="R95" s="188"/>
      <c r="S95" s="190"/>
      <c r="T95" s="191"/>
      <c r="U95" s="190"/>
      <c r="V95" s="189"/>
      <c r="W95" s="188"/>
      <c r="X95" s="188"/>
      <c r="Y95" s="188"/>
      <c r="Z95" s="188"/>
      <c r="AA95" s="188"/>
      <c r="AB95" s="188"/>
      <c r="AC95" s="188"/>
      <c r="AD95" s="188"/>
    </row>
    <row r="96" spans="1:30" s="187" customFormat="1" ht="15">
      <c r="A96" s="242"/>
      <c r="C96" s="354"/>
      <c r="D96" s="195"/>
      <c r="E96" s="195"/>
      <c r="F96" s="195"/>
      <c r="G96" s="253"/>
      <c r="H96" s="253"/>
      <c r="I96" s="196"/>
      <c r="J96" s="196"/>
      <c r="K96" s="196"/>
      <c r="L96" s="188"/>
      <c r="M96" s="188"/>
      <c r="N96" s="188"/>
      <c r="O96" s="188"/>
      <c r="P96" s="188"/>
      <c r="Q96" s="188"/>
      <c r="R96" s="188"/>
      <c r="S96" s="190"/>
      <c r="T96" s="191"/>
      <c r="U96" s="190"/>
      <c r="V96" s="189"/>
      <c r="W96" s="188"/>
      <c r="X96" s="188"/>
      <c r="Y96" s="188"/>
      <c r="Z96" s="188"/>
      <c r="AA96" s="188"/>
      <c r="AB96" s="188"/>
      <c r="AC96" s="188"/>
      <c r="AD96" s="188"/>
    </row>
    <row r="97" spans="1:30" s="187" customFormat="1" ht="35.25" customHeight="1">
      <c r="A97" s="242"/>
      <c r="C97" s="354"/>
      <c r="D97" s="195"/>
      <c r="E97" s="195"/>
      <c r="F97" s="195"/>
      <c r="G97" s="253"/>
      <c r="H97" s="253"/>
      <c r="I97" s="196"/>
      <c r="J97" s="196"/>
      <c r="K97" s="196"/>
      <c r="L97" s="188"/>
      <c r="M97" s="188"/>
      <c r="N97" s="188"/>
      <c r="O97" s="188"/>
      <c r="P97" s="188"/>
      <c r="Q97" s="188"/>
      <c r="R97" s="188"/>
      <c r="S97" s="190"/>
      <c r="T97" s="191"/>
      <c r="U97" s="190"/>
      <c r="V97" s="189"/>
      <c r="W97" s="188"/>
      <c r="X97" s="188"/>
      <c r="Y97" s="188"/>
      <c r="Z97" s="188"/>
      <c r="AA97" s="188"/>
      <c r="AB97" s="188"/>
      <c r="AC97" s="188"/>
      <c r="AD97" s="188"/>
    </row>
    <row r="98" spans="1:30" s="187" customFormat="1" ht="15" customHeight="1">
      <c r="A98" s="242"/>
      <c r="B98" s="235"/>
      <c r="C98" s="198"/>
      <c r="D98" s="195"/>
      <c r="E98" s="195"/>
      <c r="F98" s="195"/>
      <c r="G98" s="253"/>
      <c r="H98" s="253"/>
      <c r="I98" s="196"/>
      <c r="J98" s="196"/>
      <c r="K98" s="196"/>
      <c r="L98" s="188"/>
      <c r="M98" s="188"/>
      <c r="N98" s="188"/>
      <c r="O98" s="188"/>
      <c r="P98" s="188"/>
      <c r="Q98" s="188"/>
      <c r="R98" s="188"/>
      <c r="S98" s="190"/>
      <c r="T98" s="191"/>
      <c r="U98" s="190"/>
      <c r="V98" s="189"/>
      <c r="W98" s="188"/>
      <c r="X98" s="188"/>
      <c r="Y98" s="188"/>
      <c r="Z98" s="188"/>
      <c r="AA98" s="188"/>
      <c r="AB98" s="188"/>
      <c r="AC98" s="188"/>
      <c r="AD98" s="188"/>
    </row>
    <row r="99" spans="1:30" s="187" customFormat="1" ht="15">
      <c r="A99" s="242"/>
      <c r="B99" s="235"/>
      <c r="C99" s="198"/>
      <c r="D99" s="195"/>
      <c r="E99" s="195"/>
      <c r="F99" s="195"/>
      <c r="G99" s="253"/>
      <c r="H99" s="253"/>
      <c r="I99" s="196"/>
      <c r="J99" s="196"/>
      <c r="K99" s="196"/>
      <c r="L99" s="188"/>
      <c r="M99" s="188"/>
      <c r="N99" s="188"/>
      <c r="O99" s="188"/>
      <c r="P99" s="188"/>
      <c r="Q99" s="188"/>
      <c r="R99" s="188"/>
      <c r="S99" s="190"/>
      <c r="T99" s="191"/>
      <c r="U99" s="190"/>
      <c r="V99" s="189"/>
      <c r="W99" s="188"/>
      <c r="X99" s="188"/>
      <c r="Y99" s="188"/>
      <c r="Z99" s="188"/>
      <c r="AA99" s="188"/>
      <c r="AB99" s="188"/>
      <c r="AC99" s="188"/>
      <c r="AD99" s="188"/>
    </row>
    <row r="100" spans="1:30" s="187" customFormat="1" ht="11.45" customHeight="1">
      <c r="A100" s="242"/>
      <c r="B100" s="235"/>
      <c r="C100" s="198"/>
      <c r="D100" s="195"/>
      <c r="E100" s="195"/>
      <c r="F100" s="195"/>
      <c r="G100" s="253"/>
      <c r="H100" s="253"/>
      <c r="I100" s="196"/>
      <c r="J100" s="196"/>
      <c r="K100" s="196"/>
      <c r="L100" s="188"/>
      <c r="M100" s="188"/>
      <c r="N100" s="188"/>
      <c r="O100" s="188"/>
      <c r="P100" s="188"/>
      <c r="Q100" s="188"/>
      <c r="R100" s="188"/>
      <c r="S100" s="190"/>
      <c r="T100" s="191"/>
      <c r="U100" s="190"/>
      <c r="V100" s="189"/>
      <c r="W100" s="188"/>
      <c r="X100" s="188"/>
      <c r="Y100" s="188"/>
      <c r="Z100" s="188"/>
      <c r="AA100" s="188"/>
      <c r="AB100" s="188"/>
      <c r="AC100" s="188"/>
      <c r="AD100" s="188"/>
    </row>
    <row r="101" spans="1:30" s="187" customFormat="1" ht="11.45" customHeight="1" thickBot="1">
      <c r="A101" s="248"/>
      <c r="B101" s="247" t="s">
        <v>26</v>
      </c>
      <c r="C101" s="246" t="s">
        <v>115</v>
      </c>
      <c r="D101" s="246" t="s">
        <v>116</v>
      </c>
      <c r="E101" s="246" t="s">
        <v>117</v>
      </c>
      <c r="F101" s="195"/>
      <c r="G101" s="197"/>
      <c r="H101" s="197"/>
      <c r="I101" s="196"/>
      <c r="J101" s="196"/>
      <c r="K101" s="196"/>
      <c r="L101" s="188"/>
      <c r="M101" s="188"/>
      <c r="N101" s="188"/>
      <c r="O101" s="188"/>
      <c r="P101" s="188"/>
      <c r="Q101" s="188"/>
      <c r="R101" s="188"/>
      <c r="S101" s="190"/>
      <c r="T101" s="191"/>
      <c r="U101" s="190"/>
      <c r="V101" s="189"/>
      <c r="W101" s="188"/>
      <c r="X101" s="188"/>
      <c r="Y101" s="188"/>
      <c r="Z101" s="188"/>
      <c r="AA101" s="188"/>
      <c r="AB101" s="188"/>
      <c r="AC101" s="188"/>
      <c r="AD101" s="188"/>
    </row>
    <row r="102" spans="1:30" s="187" customFormat="1" ht="33.75">
      <c r="A102" s="250" t="s">
        <v>236</v>
      </c>
      <c r="B102" s="235" t="s">
        <v>263</v>
      </c>
      <c r="C102" s="198" t="s">
        <v>27</v>
      </c>
      <c r="D102" s="195" t="s">
        <v>250</v>
      </c>
      <c r="E102" s="195"/>
      <c r="F102" s="195"/>
      <c r="G102" s="197"/>
      <c r="H102" s="197"/>
      <c r="I102" s="196"/>
      <c r="J102" s="196"/>
      <c r="K102" s="196"/>
      <c r="L102" s="188"/>
      <c r="M102" s="188"/>
      <c r="N102" s="188"/>
      <c r="O102" s="188"/>
      <c r="P102" s="188"/>
      <c r="Q102" s="188"/>
      <c r="R102" s="188"/>
      <c r="S102" s="190"/>
      <c r="T102" s="191"/>
      <c r="U102" s="190"/>
      <c r="V102" s="189"/>
      <c r="W102" s="188"/>
      <c r="X102" s="188"/>
      <c r="Y102" s="188"/>
      <c r="Z102" s="188"/>
      <c r="AA102" s="188"/>
      <c r="AB102" s="188"/>
      <c r="AC102" s="188"/>
      <c r="AD102" s="188"/>
    </row>
    <row r="103" spans="1:30" s="187" customFormat="1" ht="15">
      <c r="A103" s="250" t="s">
        <v>234</v>
      </c>
      <c r="B103" s="235" t="s">
        <v>265</v>
      </c>
      <c r="C103" s="198" t="s">
        <v>235</v>
      </c>
      <c r="D103" s="195"/>
      <c r="E103" s="195"/>
      <c r="F103" s="195"/>
      <c r="G103" s="197"/>
      <c r="H103" s="197"/>
      <c r="I103" s="196"/>
      <c r="J103" s="196"/>
      <c r="K103" s="196"/>
      <c r="L103" s="188"/>
      <c r="M103" s="188"/>
      <c r="N103" s="188"/>
      <c r="O103" s="188"/>
      <c r="P103" s="188"/>
      <c r="Q103" s="188"/>
      <c r="R103" s="188"/>
      <c r="S103" s="190"/>
      <c r="T103" s="191"/>
      <c r="U103" s="190"/>
      <c r="V103" s="189"/>
      <c r="W103" s="188"/>
      <c r="X103" s="188"/>
      <c r="Y103" s="188"/>
      <c r="Z103" s="188"/>
      <c r="AA103" s="188"/>
      <c r="AB103" s="188"/>
      <c r="AC103" s="188"/>
      <c r="AD103" s="188"/>
    </row>
    <row r="104" spans="1:30" s="187" customFormat="1" ht="22.5">
      <c r="A104" s="250" t="s">
        <v>233</v>
      </c>
      <c r="B104" s="235" t="s">
        <v>264</v>
      </c>
      <c r="C104" s="198" t="s">
        <v>448</v>
      </c>
      <c r="D104" s="251" t="s">
        <v>449</v>
      </c>
      <c r="E104" s="359" t="str">
        <f>IF(D104&gt;=C105,"COMPLIES","DOES NOT COMPLY")</f>
        <v>COMPLIES</v>
      </c>
      <c r="F104" s="195"/>
      <c r="G104" s="197"/>
      <c r="H104" s="197"/>
      <c r="I104" s="196"/>
      <c r="J104" s="196"/>
      <c r="K104" s="196"/>
      <c r="L104" s="188"/>
      <c r="M104" s="188"/>
      <c r="N104" s="188"/>
      <c r="O104" s="188"/>
      <c r="P104" s="188"/>
      <c r="Q104" s="188"/>
      <c r="R104" s="188"/>
      <c r="S104" s="190"/>
      <c r="T104" s="191"/>
      <c r="U104" s="190"/>
      <c r="V104" s="189"/>
      <c r="W104" s="188"/>
      <c r="X104" s="188"/>
      <c r="Y104" s="188"/>
      <c r="Z104" s="188"/>
      <c r="AA104" s="188"/>
      <c r="AB104" s="188"/>
      <c r="AC104" s="188"/>
      <c r="AD104" s="188"/>
    </row>
    <row r="105" spans="1:30" s="187" customFormat="1" ht="15">
      <c r="A105" s="250"/>
      <c r="B105" s="235"/>
      <c r="C105" s="251"/>
      <c r="E105" s="359"/>
      <c r="F105" s="195"/>
      <c r="G105" s="197"/>
      <c r="H105" s="197"/>
      <c r="I105" s="196"/>
      <c r="J105" s="196"/>
      <c r="K105" s="196"/>
      <c r="L105" s="188"/>
      <c r="M105" s="188"/>
      <c r="N105" s="188"/>
      <c r="O105" s="188"/>
      <c r="P105" s="188"/>
      <c r="Q105" s="188"/>
      <c r="R105" s="188"/>
      <c r="S105" s="190"/>
      <c r="T105" s="191"/>
      <c r="U105" s="190"/>
      <c r="V105" s="189"/>
      <c r="W105" s="188"/>
      <c r="X105" s="188"/>
      <c r="Y105" s="188"/>
      <c r="Z105" s="188"/>
      <c r="AA105" s="188"/>
      <c r="AB105" s="188"/>
      <c r="AC105" s="188"/>
      <c r="AD105" s="188"/>
    </row>
    <row r="106" spans="1:30" s="187" customFormat="1" ht="15">
      <c r="A106" s="250"/>
      <c r="B106" s="235" t="s">
        <v>266</v>
      </c>
      <c r="C106" s="198" t="s">
        <v>135</v>
      </c>
      <c r="D106" s="252"/>
      <c r="E106" s="359" t="s">
        <v>152</v>
      </c>
      <c r="F106" s="195"/>
      <c r="G106" s="197"/>
      <c r="H106" s="197"/>
      <c r="I106" s="196"/>
      <c r="J106" s="196"/>
      <c r="K106" s="196"/>
      <c r="L106" s="188"/>
      <c r="M106" s="188"/>
      <c r="N106" s="188"/>
      <c r="O106" s="188"/>
      <c r="P106" s="188"/>
      <c r="Q106" s="188"/>
      <c r="R106" s="188"/>
      <c r="S106" s="190"/>
      <c r="T106" s="191"/>
      <c r="U106" s="190"/>
      <c r="V106" s="189"/>
      <c r="W106" s="188"/>
      <c r="X106" s="188"/>
      <c r="Y106" s="188"/>
      <c r="Z106" s="188"/>
      <c r="AA106" s="188"/>
      <c r="AB106" s="188"/>
      <c r="AC106" s="188"/>
      <c r="AD106" s="188"/>
    </row>
    <row r="107" spans="1:30" s="187" customFormat="1" ht="15">
      <c r="A107" s="250"/>
      <c r="B107" s="235"/>
      <c r="C107" s="251" t="s">
        <v>447</v>
      </c>
      <c r="D107" s="251">
        <f>50399/10000</f>
        <v>5.0399000000000003</v>
      </c>
      <c r="E107" s="359"/>
      <c r="F107" s="195"/>
      <c r="G107" s="197"/>
      <c r="H107" s="197"/>
      <c r="I107" s="196"/>
      <c r="J107" s="196"/>
      <c r="K107" s="196"/>
      <c r="L107" s="188"/>
      <c r="M107" s="188"/>
      <c r="N107" s="188"/>
      <c r="O107" s="188"/>
      <c r="P107" s="188"/>
      <c r="Q107" s="188"/>
      <c r="R107" s="188"/>
      <c r="S107" s="190"/>
      <c r="T107" s="191"/>
      <c r="U107" s="190"/>
      <c r="V107" s="189"/>
      <c r="W107" s="188"/>
      <c r="X107" s="188"/>
      <c r="Y107" s="188"/>
      <c r="Z107" s="188"/>
      <c r="AA107" s="188"/>
      <c r="AB107" s="188"/>
      <c r="AC107" s="188"/>
      <c r="AD107" s="188"/>
    </row>
    <row r="108" spans="1:30" s="187" customFormat="1" ht="11.45" customHeight="1">
      <c r="A108" s="250"/>
      <c r="B108" s="235"/>
      <c r="C108" s="198"/>
      <c r="D108" s="249" t="s">
        <v>450</v>
      </c>
      <c r="E108" s="213" t="s">
        <v>152</v>
      </c>
      <c r="F108" s="195"/>
      <c r="G108" s="197"/>
      <c r="H108" s="197"/>
      <c r="I108" s="196"/>
      <c r="J108" s="196"/>
      <c r="K108" s="196"/>
      <c r="L108" s="188"/>
      <c r="M108" s="188"/>
      <c r="N108" s="188"/>
      <c r="O108" s="188"/>
      <c r="P108" s="188"/>
      <c r="Q108" s="188"/>
      <c r="R108" s="188"/>
      <c r="S108" s="190"/>
      <c r="T108" s="191"/>
      <c r="U108" s="190"/>
      <c r="V108" s="189"/>
      <c r="W108" s="188"/>
      <c r="X108" s="188"/>
      <c r="Y108" s="188"/>
      <c r="Z108" s="188"/>
      <c r="AA108" s="188"/>
      <c r="AB108" s="188"/>
      <c r="AC108" s="188"/>
      <c r="AD108" s="188"/>
    </row>
    <row r="109" spans="1:30" s="187" customFormat="1" ht="11.45" customHeight="1" thickBot="1">
      <c r="A109" s="248"/>
      <c r="B109" s="247" t="s">
        <v>28</v>
      </c>
      <c r="C109" s="246" t="s">
        <v>115</v>
      </c>
      <c r="D109" s="246" t="s">
        <v>116</v>
      </c>
      <c r="E109" s="246" t="s">
        <v>117</v>
      </c>
      <c r="F109" s="195"/>
      <c r="G109" s="197"/>
      <c r="H109" s="197"/>
      <c r="I109" s="188"/>
      <c r="J109" s="197"/>
      <c r="K109" s="196"/>
      <c r="L109" s="188"/>
      <c r="M109" s="188"/>
      <c r="N109" s="188"/>
      <c r="O109" s="188"/>
      <c r="P109" s="188"/>
      <c r="Q109" s="188"/>
      <c r="R109" s="188"/>
      <c r="S109" s="190"/>
      <c r="T109" s="191"/>
      <c r="U109" s="190"/>
      <c r="V109" s="189"/>
      <c r="W109" s="188"/>
      <c r="X109" s="188"/>
      <c r="Y109" s="188"/>
      <c r="Z109" s="188"/>
      <c r="AA109" s="188"/>
      <c r="AB109" s="188"/>
      <c r="AC109" s="188"/>
      <c r="AD109" s="188"/>
    </row>
    <row r="110" spans="1:30" s="187" customFormat="1" ht="33.75" customHeight="1">
      <c r="A110" s="242" t="s">
        <v>29</v>
      </c>
      <c r="B110" s="235" t="s">
        <v>30</v>
      </c>
      <c r="C110" s="198" t="s">
        <v>140</v>
      </c>
      <c r="D110" s="363" t="s">
        <v>244</v>
      </c>
      <c r="E110" s="243" t="s">
        <v>152</v>
      </c>
      <c r="F110" s="195"/>
      <c r="G110" s="197"/>
      <c r="H110" s="197"/>
      <c r="I110" s="188"/>
      <c r="J110" s="197"/>
      <c r="K110" s="196"/>
      <c r="L110" s="188"/>
      <c r="M110" s="188"/>
      <c r="N110" s="188"/>
      <c r="O110" s="188"/>
      <c r="P110" s="188"/>
      <c r="Q110" s="188"/>
      <c r="R110" s="188"/>
      <c r="S110" s="190"/>
      <c r="T110" s="191"/>
      <c r="U110" s="190"/>
      <c r="V110" s="189"/>
      <c r="W110" s="188"/>
      <c r="X110" s="188"/>
      <c r="Y110" s="188"/>
      <c r="Z110" s="188"/>
      <c r="AA110" s="188"/>
      <c r="AB110" s="188"/>
      <c r="AC110" s="188"/>
      <c r="AD110" s="188"/>
    </row>
    <row r="111" spans="1:30" s="187" customFormat="1" ht="15">
      <c r="A111" s="242"/>
      <c r="B111" s="235"/>
      <c r="C111" s="198" t="s">
        <v>141</v>
      </c>
      <c r="D111" s="364"/>
      <c r="E111" s="188"/>
      <c r="F111" s="195"/>
      <c r="G111" s="197"/>
      <c r="H111" s="197"/>
      <c r="I111" s="188"/>
      <c r="J111" s="197"/>
      <c r="K111" s="196"/>
      <c r="L111" s="188"/>
      <c r="M111" s="188"/>
      <c r="N111" s="188"/>
      <c r="O111" s="188"/>
      <c r="P111" s="188"/>
      <c r="Q111" s="188"/>
      <c r="R111" s="188"/>
      <c r="S111" s="190"/>
      <c r="T111" s="191"/>
      <c r="U111" s="190"/>
      <c r="V111" s="189"/>
      <c r="W111" s="188"/>
      <c r="X111" s="188"/>
      <c r="Y111" s="188"/>
      <c r="Z111" s="188"/>
      <c r="AA111" s="188"/>
      <c r="AB111" s="188"/>
      <c r="AC111" s="188"/>
      <c r="AD111" s="188"/>
    </row>
    <row r="112" spans="1:30" s="187" customFormat="1" ht="5.25" customHeight="1">
      <c r="A112" s="242"/>
      <c r="B112" s="235"/>
      <c r="C112" s="198"/>
      <c r="D112" s="364"/>
      <c r="E112" s="195"/>
      <c r="F112" s="195"/>
      <c r="G112" s="197"/>
      <c r="H112" s="197"/>
      <c r="I112" s="188"/>
      <c r="J112" s="197"/>
      <c r="K112" s="196"/>
      <c r="L112" s="188"/>
      <c r="M112" s="188"/>
      <c r="N112" s="188"/>
      <c r="O112" s="188"/>
      <c r="P112" s="188"/>
      <c r="Q112" s="188"/>
      <c r="R112" s="188"/>
      <c r="S112" s="190"/>
      <c r="T112" s="191"/>
      <c r="U112" s="190"/>
      <c r="V112" s="189"/>
      <c r="W112" s="188"/>
      <c r="X112" s="188"/>
      <c r="Y112" s="188"/>
      <c r="Z112" s="188"/>
      <c r="AA112" s="188"/>
      <c r="AB112" s="188"/>
      <c r="AC112" s="188"/>
      <c r="AD112" s="188"/>
    </row>
    <row r="113" spans="1:30" s="187" customFormat="1" ht="11.45" customHeight="1" outlineLevel="1" thickBot="1">
      <c r="A113" s="248"/>
      <c r="B113" s="247" t="s">
        <v>31</v>
      </c>
      <c r="C113" s="246" t="s">
        <v>115</v>
      </c>
      <c r="D113" s="246" t="s">
        <v>116</v>
      </c>
      <c r="E113" s="246" t="s">
        <v>117</v>
      </c>
      <c r="F113" s="195"/>
      <c r="G113" s="197"/>
      <c r="H113" s="197"/>
      <c r="I113" s="196"/>
      <c r="J113" s="196"/>
      <c r="K113" s="196"/>
      <c r="L113" s="188"/>
      <c r="M113" s="188"/>
      <c r="N113" s="188"/>
      <c r="O113" s="188"/>
      <c r="P113" s="188"/>
      <c r="Q113" s="188"/>
      <c r="R113" s="188"/>
      <c r="S113" s="190"/>
      <c r="T113" s="191"/>
      <c r="U113" s="190"/>
      <c r="V113" s="189"/>
      <c r="W113" s="188"/>
      <c r="X113" s="188"/>
      <c r="Y113" s="188"/>
      <c r="Z113" s="188"/>
      <c r="AA113" s="188"/>
      <c r="AB113" s="188"/>
      <c r="AC113" s="188"/>
      <c r="AD113" s="188"/>
    </row>
    <row r="114" spans="1:30" s="187" customFormat="1" ht="22.5" outlineLevel="1">
      <c r="A114" s="242" t="s">
        <v>32</v>
      </c>
      <c r="B114" s="235" t="s">
        <v>33</v>
      </c>
      <c r="C114" s="198" t="s">
        <v>34</v>
      </c>
      <c r="D114" s="195" t="s">
        <v>95</v>
      </c>
      <c r="E114" s="243" t="s">
        <v>152</v>
      </c>
      <c r="F114" s="195"/>
      <c r="G114" s="197"/>
      <c r="H114" s="197"/>
      <c r="I114" s="196"/>
      <c r="J114" s="196"/>
      <c r="K114" s="196"/>
      <c r="L114" s="188"/>
      <c r="M114" s="188"/>
      <c r="N114" s="188"/>
      <c r="O114" s="188"/>
      <c r="P114" s="188"/>
      <c r="Q114" s="188"/>
      <c r="R114" s="188"/>
      <c r="S114" s="190"/>
      <c r="T114" s="191"/>
      <c r="U114" s="190"/>
      <c r="V114" s="189"/>
      <c r="W114" s="188"/>
      <c r="X114" s="188"/>
      <c r="Y114" s="188"/>
      <c r="Z114" s="188"/>
      <c r="AA114" s="188"/>
      <c r="AB114" s="188"/>
      <c r="AC114" s="188"/>
      <c r="AD114" s="188"/>
    </row>
    <row r="115" spans="1:30" s="187" customFormat="1" ht="33.75" hidden="1" outlineLevel="1">
      <c r="A115" s="242" t="s">
        <v>35</v>
      </c>
      <c r="B115" s="235" t="s">
        <v>36</v>
      </c>
      <c r="C115" s="198" t="s">
        <v>37</v>
      </c>
      <c r="D115" s="195" t="s">
        <v>94</v>
      </c>
      <c r="E115" s="243" t="s">
        <v>152</v>
      </c>
      <c r="F115" s="195"/>
      <c r="G115" s="197"/>
      <c r="H115" s="197"/>
      <c r="I115" s="196"/>
      <c r="J115" s="196"/>
      <c r="K115" s="196"/>
      <c r="L115" s="188"/>
      <c r="M115" s="188"/>
      <c r="N115" s="188"/>
      <c r="O115" s="188"/>
      <c r="P115" s="188"/>
      <c r="Q115" s="188"/>
      <c r="R115" s="188"/>
      <c r="S115" s="190"/>
      <c r="T115" s="191"/>
      <c r="U115" s="190"/>
      <c r="V115" s="189"/>
      <c r="W115" s="188"/>
      <c r="X115" s="188"/>
      <c r="Y115" s="188"/>
      <c r="Z115" s="188"/>
      <c r="AA115" s="188"/>
      <c r="AB115" s="188"/>
      <c r="AC115" s="188"/>
      <c r="AD115" s="188"/>
    </row>
    <row r="116" spans="1:30" s="187" customFormat="1" ht="22.5" outlineLevel="1">
      <c r="A116" s="242" t="s">
        <v>38</v>
      </c>
      <c r="B116" s="235" t="s">
        <v>39</v>
      </c>
      <c r="C116" s="198" t="s">
        <v>121</v>
      </c>
      <c r="D116" s="195" t="s">
        <v>96</v>
      </c>
      <c r="E116" s="243" t="s">
        <v>152</v>
      </c>
      <c r="F116" s="195"/>
      <c r="G116" s="197"/>
      <c r="H116" s="197"/>
      <c r="I116" s="196"/>
      <c r="J116" s="196"/>
      <c r="K116" s="196"/>
      <c r="L116" s="188"/>
      <c r="M116" s="188"/>
      <c r="N116" s="188"/>
      <c r="O116" s="188"/>
      <c r="P116" s="188"/>
      <c r="Q116" s="188"/>
      <c r="R116" s="188"/>
      <c r="S116" s="190"/>
      <c r="T116" s="191"/>
      <c r="U116" s="190"/>
      <c r="V116" s="189"/>
      <c r="W116" s="188"/>
      <c r="X116" s="188"/>
      <c r="Y116" s="188"/>
      <c r="Z116" s="188"/>
      <c r="AA116" s="188"/>
      <c r="AB116" s="188"/>
      <c r="AC116" s="188"/>
      <c r="AD116" s="188"/>
    </row>
    <row r="117" spans="1:30" s="187" customFormat="1" ht="15" outlineLevel="1">
      <c r="A117" s="242" t="s">
        <v>40</v>
      </c>
      <c r="B117" s="235" t="s">
        <v>41</v>
      </c>
      <c r="C117" s="198" t="s">
        <v>239</v>
      </c>
      <c r="D117" s="245" t="s">
        <v>237</v>
      </c>
      <c r="E117" s="243"/>
      <c r="F117" s="195"/>
      <c r="G117" s="197"/>
      <c r="H117" s="197"/>
      <c r="I117" s="196"/>
      <c r="J117" s="196"/>
      <c r="K117" s="196"/>
      <c r="L117" s="188"/>
      <c r="M117" s="188"/>
      <c r="N117" s="188"/>
      <c r="O117" s="188"/>
      <c r="P117" s="188"/>
      <c r="Q117" s="188"/>
      <c r="R117" s="188"/>
      <c r="S117" s="190"/>
      <c r="T117" s="191"/>
      <c r="U117" s="190"/>
      <c r="V117" s="189"/>
      <c r="W117" s="188"/>
      <c r="X117" s="188"/>
      <c r="Y117" s="188"/>
      <c r="Z117" s="188"/>
      <c r="AA117" s="188"/>
      <c r="AB117" s="188"/>
      <c r="AC117" s="188"/>
      <c r="AD117" s="188"/>
    </row>
    <row r="118" spans="1:30" s="187" customFormat="1" ht="15" outlineLevel="1">
      <c r="A118" s="242"/>
      <c r="B118" s="235"/>
      <c r="C118" s="198" t="s">
        <v>409</v>
      </c>
      <c r="D118" s="244">
        <f>2885+701+401</f>
        <v>3987</v>
      </c>
      <c r="E118" s="243" t="str">
        <f>IF(D118&gt;0.028*$D$37,"COMPLIES","DOES NOT COMPLY")</f>
        <v>COMPLIES</v>
      </c>
      <c r="F118" s="195"/>
      <c r="G118" s="197"/>
      <c r="H118" s="197"/>
      <c r="I118" s="196"/>
      <c r="J118" s="196"/>
      <c r="K118" s="196"/>
      <c r="L118" s="188"/>
      <c r="M118" s="188"/>
      <c r="N118" s="188"/>
      <c r="O118" s="188"/>
      <c r="P118" s="188"/>
      <c r="Q118" s="188"/>
      <c r="R118" s="188"/>
      <c r="S118" s="190"/>
      <c r="T118" s="191"/>
      <c r="U118" s="190"/>
      <c r="V118" s="189"/>
      <c r="W118" s="188"/>
      <c r="X118" s="188"/>
      <c r="Y118" s="188"/>
      <c r="Z118" s="188"/>
      <c r="AA118" s="188"/>
      <c r="AB118" s="188"/>
      <c r="AC118" s="188"/>
      <c r="AD118" s="188"/>
    </row>
    <row r="119" spans="1:30" s="187" customFormat="1" ht="34.5" customHeight="1" outlineLevel="1">
      <c r="A119" s="242" t="s">
        <v>122</v>
      </c>
      <c r="B119" s="235" t="s">
        <v>123</v>
      </c>
      <c r="C119" s="149" t="s">
        <v>238</v>
      </c>
      <c r="D119" s="195" t="s">
        <v>240</v>
      </c>
      <c r="E119" s="243" t="s">
        <v>152</v>
      </c>
      <c r="F119" s="195"/>
      <c r="G119" s="197"/>
      <c r="H119" s="197"/>
      <c r="I119" s="196"/>
      <c r="J119" s="196"/>
      <c r="K119" s="196"/>
      <c r="L119" s="188"/>
      <c r="M119" s="188"/>
      <c r="N119" s="188"/>
      <c r="O119" s="188"/>
      <c r="P119" s="188"/>
      <c r="Q119" s="188"/>
      <c r="R119" s="188"/>
      <c r="S119" s="190"/>
      <c r="T119" s="191"/>
      <c r="U119" s="190"/>
      <c r="V119" s="189"/>
      <c r="W119" s="188"/>
      <c r="X119" s="188"/>
      <c r="Y119" s="188"/>
      <c r="Z119" s="188"/>
      <c r="AA119" s="188"/>
      <c r="AB119" s="188"/>
      <c r="AC119" s="188"/>
      <c r="AD119" s="188"/>
    </row>
    <row r="120" spans="1:30" s="187" customFormat="1" ht="22.5" outlineLevel="1">
      <c r="A120" s="242" t="s">
        <v>124</v>
      </c>
      <c r="B120" s="235" t="s">
        <v>42</v>
      </c>
      <c r="C120" s="198" t="s">
        <v>120</v>
      </c>
      <c r="D120" s="195" t="s">
        <v>97</v>
      </c>
      <c r="E120" s="243" t="s">
        <v>152</v>
      </c>
      <c r="F120" s="195"/>
      <c r="G120" s="197"/>
      <c r="H120" s="197"/>
      <c r="I120" s="196"/>
      <c r="J120" s="196"/>
      <c r="K120" s="196"/>
      <c r="L120" s="188"/>
      <c r="M120" s="188"/>
      <c r="N120" s="188"/>
      <c r="O120" s="188"/>
      <c r="P120" s="188"/>
      <c r="Q120" s="188"/>
      <c r="R120" s="188"/>
      <c r="S120" s="190"/>
      <c r="T120" s="191"/>
      <c r="U120" s="190"/>
      <c r="V120" s="189"/>
      <c r="W120" s="188"/>
      <c r="X120" s="188"/>
      <c r="Y120" s="188"/>
      <c r="Z120" s="188"/>
      <c r="AA120" s="188"/>
      <c r="AB120" s="188"/>
      <c r="AC120" s="188"/>
      <c r="AD120" s="188"/>
    </row>
    <row r="121" spans="1:30" s="187" customFormat="1" ht="22.5" outlineLevel="1">
      <c r="A121" s="242" t="s">
        <v>43</v>
      </c>
      <c r="B121" s="235" t="s">
        <v>44</v>
      </c>
      <c r="C121" s="198" t="s">
        <v>241</v>
      </c>
      <c r="D121" s="195" t="s">
        <v>242</v>
      </c>
      <c r="E121" s="243" t="s">
        <v>152</v>
      </c>
      <c r="F121" s="195"/>
      <c r="G121" s="197"/>
      <c r="H121" s="197"/>
      <c r="I121" s="196"/>
      <c r="J121" s="196"/>
      <c r="K121" s="196"/>
      <c r="L121" s="188"/>
      <c r="M121" s="188"/>
      <c r="N121" s="188"/>
      <c r="O121" s="188"/>
      <c r="P121" s="188"/>
      <c r="Q121" s="188"/>
      <c r="R121" s="188"/>
      <c r="S121" s="190"/>
      <c r="T121" s="191"/>
      <c r="U121" s="190"/>
      <c r="V121" s="189"/>
      <c r="W121" s="188"/>
      <c r="X121" s="188"/>
      <c r="Y121" s="188"/>
      <c r="Z121" s="188"/>
      <c r="AA121" s="188"/>
      <c r="AB121" s="188"/>
      <c r="AC121" s="188"/>
      <c r="AD121" s="188"/>
    </row>
    <row r="122" spans="1:30" s="187" customFormat="1" ht="22.5" hidden="1" outlineLevel="1">
      <c r="A122" s="242" t="s">
        <v>45</v>
      </c>
      <c r="B122" s="235" t="s">
        <v>46</v>
      </c>
      <c r="C122" s="198" t="s">
        <v>47</v>
      </c>
      <c r="D122" s="195" t="s">
        <v>98</v>
      </c>
      <c r="E122" s="243" t="s">
        <v>152</v>
      </c>
      <c r="F122" s="195"/>
      <c r="G122" s="197"/>
      <c r="H122" s="197"/>
      <c r="I122" s="196"/>
      <c r="J122" s="196"/>
      <c r="K122" s="196"/>
      <c r="L122" s="188"/>
      <c r="M122" s="188"/>
      <c r="N122" s="188"/>
      <c r="O122" s="188"/>
      <c r="P122" s="188"/>
      <c r="Q122" s="188"/>
      <c r="R122" s="188"/>
      <c r="S122" s="190"/>
      <c r="T122" s="191"/>
      <c r="U122" s="190"/>
      <c r="V122" s="189"/>
      <c r="W122" s="188"/>
      <c r="X122" s="188"/>
      <c r="Y122" s="188"/>
      <c r="Z122" s="188"/>
      <c r="AA122" s="188"/>
      <c r="AB122" s="188"/>
      <c r="AC122" s="188"/>
      <c r="AD122" s="188"/>
    </row>
    <row r="123" spans="1:30" s="187" customFormat="1" ht="15" outlineLevel="1">
      <c r="A123" s="242" t="s">
        <v>48</v>
      </c>
      <c r="B123" s="235" t="s">
        <v>83</v>
      </c>
      <c r="C123" s="198" t="s">
        <v>93</v>
      </c>
      <c r="D123" s="195" t="s">
        <v>84</v>
      </c>
      <c r="E123" s="243" t="s">
        <v>152</v>
      </c>
      <c r="F123" s="195"/>
      <c r="G123" s="197"/>
      <c r="H123" s="197"/>
      <c r="I123" s="196"/>
      <c r="J123" s="196"/>
      <c r="K123" s="196"/>
      <c r="L123" s="188"/>
      <c r="M123" s="188"/>
      <c r="N123" s="188"/>
      <c r="O123" s="188"/>
      <c r="P123" s="188"/>
      <c r="Q123" s="188"/>
      <c r="R123" s="188"/>
      <c r="S123" s="190"/>
      <c r="T123" s="191"/>
      <c r="U123" s="190"/>
      <c r="V123" s="189"/>
      <c r="W123" s="188"/>
      <c r="X123" s="188"/>
      <c r="Y123" s="188"/>
      <c r="Z123" s="188"/>
      <c r="AA123" s="188"/>
      <c r="AB123" s="188"/>
      <c r="AC123" s="188"/>
      <c r="AD123" s="188"/>
    </row>
    <row r="124" spans="1:30" s="187" customFormat="1" ht="11.45" customHeight="1" outlineLevel="1">
      <c r="A124" s="242"/>
      <c r="B124" s="235"/>
      <c r="C124" s="198"/>
      <c r="D124" s="195"/>
      <c r="E124" s="195"/>
      <c r="F124" s="195"/>
      <c r="G124" s="197"/>
      <c r="H124" s="197"/>
      <c r="I124" s="196"/>
      <c r="J124" s="196"/>
      <c r="K124" s="196"/>
      <c r="L124" s="188"/>
      <c r="M124" s="188"/>
      <c r="N124" s="188"/>
      <c r="O124" s="188"/>
      <c r="P124" s="188"/>
      <c r="Q124" s="188"/>
      <c r="R124" s="188"/>
      <c r="S124" s="190"/>
      <c r="T124" s="191"/>
      <c r="U124" s="190"/>
      <c r="V124" s="189"/>
      <c r="W124" s="188"/>
      <c r="X124" s="188"/>
      <c r="Y124" s="188"/>
      <c r="Z124" s="188"/>
      <c r="AA124" s="188"/>
      <c r="AB124" s="188"/>
      <c r="AC124" s="188"/>
      <c r="AD124" s="188"/>
    </row>
    <row r="125" spans="1:30" s="187" customFormat="1" ht="11.45" customHeight="1" thickBot="1">
      <c r="A125" s="241"/>
      <c r="B125" s="240" t="s">
        <v>49</v>
      </c>
      <c r="C125" s="239"/>
      <c r="D125" s="238"/>
      <c r="E125" s="237"/>
      <c r="F125" s="195"/>
      <c r="G125" s="195"/>
      <c r="H125" s="195"/>
      <c r="I125" s="197"/>
      <c r="J125" s="196"/>
      <c r="K125" s="196"/>
      <c r="L125" s="196"/>
      <c r="M125" s="196"/>
      <c r="N125" s="196"/>
      <c r="O125" s="196"/>
      <c r="P125" s="196"/>
      <c r="Q125" s="196"/>
      <c r="R125" s="188"/>
      <c r="S125" s="188"/>
      <c r="T125" s="188"/>
      <c r="U125" s="188"/>
      <c r="V125" s="188"/>
      <c r="W125" s="188"/>
      <c r="X125" s="188"/>
      <c r="Y125" s="190"/>
      <c r="Z125" s="191"/>
      <c r="AA125" s="190"/>
      <c r="AB125" s="189"/>
      <c r="AC125" s="188"/>
      <c r="AD125" s="188"/>
    </row>
    <row r="126" spans="1:30" s="187" customFormat="1" ht="11.45" customHeight="1">
      <c r="A126" s="201"/>
      <c r="B126" s="236" t="s">
        <v>50</v>
      </c>
      <c r="C126" s="199"/>
      <c r="D126" s="235">
        <f>100634*0.73</f>
        <v>73462.819999999992</v>
      </c>
      <c r="E126" s="195"/>
      <c r="F126" s="195"/>
      <c r="G126" s="195"/>
      <c r="H126" s="195"/>
      <c r="I126" s="195"/>
      <c r="J126" s="197"/>
      <c r="K126" s="197"/>
      <c r="L126" s="196"/>
      <c r="M126" s="196"/>
      <c r="N126" s="196"/>
      <c r="O126" s="196"/>
      <c r="P126" s="196"/>
      <c r="Q126" s="196"/>
      <c r="R126" s="196"/>
      <c r="S126" s="188"/>
      <c r="T126" s="188"/>
      <c r="U126" s="188"/>
      <c r="V126" s="188"/>
      <c r="W126" s="188"/>
      <c r="X126" s="188"/>
      <c r="Y126" s="188"/>
      <c r="Z126" s="190"/>
      <c r="AA126" s="191"/>
      <c r="AB126" s="190"/>
      <c r="AC126" s="189"/>
      <c r="AD126" s="188"/>
    </row>
    <row r="127" spans="1:30" s="187" customFormat="1" ht="11.45" customHeight="1">
      <c r="A127" s="215"/>
      <c r="B127" s="234" t="s">
        <v>136</v>
      </c>
      <c r="C127" s="233"/>
      <c r="D127" s="231">
        <f>(0.71*335)+(0.17*540)+(0.06*660)+(0.06*850)</f>
        <v>420.25</v>
      </c>
      <c r="E127" s="232"/>
      <c r="F127" s="195"/>
      <c r="G127" s="195"/>
      <c r="H127" s="195"/>
      <c r="I127" s="195"/>
      <c r="J127" s="197"/>
      <c r="K127" s="197"/>
      <c r="L127" s="196"/>
      <c r="M127" s="196"/>
      <c r="N127" s="196"/>
      <c r="O127" s="196"/>
      <c r="P127" s="196"/>
      <c r="Q127" s="188"/>
      <c r="R127" s="197"/>
      <c r="S127" s="188"/>
      <c r="T127" s="188"/>
      <c r="U127" s="188"/>
      <c r="V127" s="188"/>
      <c r="W127" s="188"/>
      <c r="X127" s="188"/>
      <c r="Y127" s="188"/>
      <c r="Z127" s="190"/>
      <c r="AA127" s="191"/>
      <c r="AB127" s="190"/>
      <c r="AC127" s="189"/>
      <c r="AD127" s="188"/>
    </row>
    <row r="128" spans="1:30" s="187" customFormat="1" ht="11.45" customHeight="1">
      <c r="B128" s="230" t="s">
        <v>51</v>
      </c>
      <c r="C128" s="229">
        <v>0.71499999999999997</v>
      </c>
      <c r="D128" s="231">
        <f>'[1]SUPERSEDED Area Tabulation (A)'!Z23+'[1]SUPERSEDED Area Tabulation (A)'!AA22</f>
        <v>126</v>
      </c>
      <c r="E128" s="227">
        <v>350</v>
      </c>
      <c r="F128" s="195"/>
      <c r="G128" s="209"/>
      <c r="H128" s="221"/>
      <c r="I128" s="195"/>
      <c r="J128" s="208"/>
      <c r="K128" s="208"/>
      <c r="L128" s="197"/>
      <c r="M128" s="206"/>
      <c r="N128" s="207"/>
      <c r="O128" s="206"/>
      <c r="P128" s="206"/>
      <c r="Q128" s="188"/>
      <c r="R128" s="197"/>
      <c r="S128" s="196"/>
      <c r="T128" s="188"/>
      <c r="U128" s="188"/>
      <c r="V128" s="188"/>
      <c r="W128" s="188"/>
      <c r="X128" s="188"/>
      <c r="Y128" s="188"/>
      <c r="Z128" s="188"/>
      <c r="AA128" s="190"/>
      <c r="AB128" s="191"/>
      <c r="AC128" s="190"/>
      <c r="AD128" s="189"/>
    </row>
    <row r="129" spans="1:30" s="187" customFormat="1" ht="11.45" customHeight="1">
      <c r="B129" s="230" t="s">
        <v>52</v>
      </c>
      <c r="C129" s="229">
        <v>0.17</v>
      </c>
      <c r="D129" s="231">
        <f>'[1]SUPERSEDED Area Tabulation (A)'!AB22</f>
        <v>30</v>
      </c>
      <c r="E129" s="227">
        <v>500</v>
      </c>
      <c r="F129" s="195"/>
      <c r="G129" s="209"/>
      <c r="H129" s="221"/>
      <c r="I129" s="195"/>
      <c r="J129" s="208"/>
      <c r="K129" s="208"/>
      <c r="L129" s="197"/>
      <c r="M129" s="206"/>
      <c r="N129" s="207"/>
      <c r="O129" s="206"/>
      <c r="P129" s="206"/>
      <c r="Q129" s="188"/>
      <c r="R129" s="197"/>
      <c r="S129" s="196"/>
      <c r="T129" s="188"/>
      <c r="U129" s="188"/>
      <c r="V129" s="188"/>
      <c r="W129" s="188"/>
      <c r="X129" s="188"/>
      <c r="Y129" s="188"/>
      <c r="Z129" s="188"/>
      <c r="AA129" s="190"/>
      <c r="AB129" s="191"/>
      <c r="AC129" s="190"/>
      <c r="AD129" s="189"/>
    </row>
    <row r="130" spans="1:30" s="187" customFormat="1" ht="11.45" customHeight="1">
      <c r="B130" s="230" t="s">
        <v>53</v>
      </c>
      <c r="C130" s="229">
        <v>5.5E-2</v>
      </c>
      <c r="D130" s="228">
        <f>'[1]SUPERSEDED Area Tabulation (A)'!AC22</f>
        <v>9</v>
      </c>
      <c r="E130" s="227">
        <v>660</v>
      </c>
      <c r="F130" s="195"/>
      <c r="G130" s="226"/>
      <c r="H130" s="221"/>
      <c r="I130" s="195"/>
      <c r="J130" s="208"/>
      <c r="K130" s="208"/>
      <c r="L130" s="197"/>
      <c r="M130" s="206"/>
      <c r="N130" s="207"/>
      <c r="O130" s="206"/>
      <c r="P130" s="206"/>
      <c r="Q130" s="196"/>
      <c r="R130" s="196"/>
      <c r="S130" s="196"/>
      <c r="T130" s="195"/>
      <c r="U130" s="188"/>
      <c r="V130" s="188"/>
      <c r="W130" s="188"/>
      <c r="X130" s="188"/>
      <c r="Y130" s="188"/>
      <c r="Z130" s="188"/>
      <c r="AA130" s="190"/>
      <c r="AB130" s="191"/>
      <c r="AC130" s="190"/>
      <c r="AD130" s="189"/>
    </row>
    <row r="131" spans="1:30" s="187" customFormat="1" ht="11.45" customHeight="1" thickBot="1">
      <c r="B131" s="225" t="s">
        <v>54</v>
      </c>
      <c r="C131" s="224">
        <v>5.5E-2</v>
      </c>
      <c r="D131" s="223">
        <f>'[1]SUPERSEDED Area Tabulation (A)'!AD22</f>
        <v>10</v>
      </c>
      <c r="E131" s="222">
        <v>850</v>
      </c>
      <c r="F131" s="195"/>
      <c r="G131" s="209"/>
      <c r="H131" s="221"/>
      <c r="I131" s="195"/>
      <c r="J131" s="208"/>
      <c r="K131" s="208"/>
      <c r="L131" s="197"/>
      <c r="M131" s="206"/>
      <c r="N131" s="207"/>
      <c r="O131" s="206"/>
      <c r="P131" s="206"/>
      <c r="Q131" s="196"/>
      <c r="R131" s="196"/>
      <c r="S131" s="196"/>
      <c r="T131" s="195"/>
      <c r="U131" s="188"/>
      <c r="V131" s="188"/>
      <c r="W131" s="188"/>
      <c r="X131" s="188"/>
      <c r="Y131" s="188"/>
      <c r="Z131" s="188"/>
      <c r="AA131" s="190"/>
      <c r="AB131" s="191"/>
      <c r="AC131" s="190"/>
      <c r="AD131" s="189"/>
    </row>
    <row r="132" spans="1:30" s="187" customFormat="1" ht="11.45" customHeight="1">
      <c r="A132" s="220"/>
      <c r="B132" s="219" t="s">
        <v>55</v>
      </c>
      <c r="C132" s="218">
        <f>SUM(C128:C131)</f>
        <v>0.99500000000000011</v>
      </c>
      <c r="D132" s="217">
        <f>D126/D127</f>
        <v>174.80742415229028</v>
      </c>
      <c r="E132" s="216"/>
      <c r="F132" s="200"/>
      <c r="G132" s="204"/>
      <c r="H132" s="204"/>
      <c r="I132" s="195"/>
      <c r="J132" s="203"/>
      <c r="K132" s="203"/>
      <c r="L132" s="197"/>
      <c r="M132" s="202"/>
      <c r="N132" s="202"/>
      <c r="O132" s="202"/>
      <c r="P132" s="202"/>
      <c r="Q132" s="196"/>
      <c r="R132" s="196"/>
      <c r="S132" s="196"/>
      <c r="T132" s="195"/>
      <c r="U132" s="188"/>
      <c r="V132" s="188"/>
      <c r="W132" s="188"/>
      <c r="X132" s="188"/>
      <c r="Y132" s="188"/>
      <c r="Z132" s="188"/>
      <c r="AA132" s="190"/>
      <c r="AB132" s="191"/>
      <c r="AC132" s="190"/>
      <c r="AD132" s="189"/>
    </row>
    <row r="133" spans="1:30" s="187" customFormat="1" ht="11.45" customHeight="1">
      <c r="A133" s="215"/>
      <c r="B133" s="188"/>
      <c r="C133" s="199"/>
      <c r="D133" s="214"/>
      <c r="E133" s="188"/>
      <c r="F133" s="195"/>
      <c r="G133" s="195"/>
      <c r="H133" s="195"/>
      <c r="I133" s="195"/>
      <c r="J133" s="197"/>
      <c r="K133" s="197"/>
      <c r="L133" s="196"/>
      <c r="M133" s="196"/>
      <c r="N133" s="196"/>
      <c r="O133" s="196"/>
      <c r="P133" s="196"/>
      <c r="Q133" s="188"/>
      <c r="R133" s="197"/>
      <c r="S133" s="188"/>
      <c r="T133" s="195"/>
      <c r="U133" s="188"/>
      <c r="V133" s="188"/>
      <c r="W133" s="188"/>
      <c r="X133" s="188"/>
      <c r="Y133" s="188"/>
      <c r="Z133" s="190"/>
      <c r="AA133" s="191"/>
      <c r="AB133" s="190"/>
      <c r="AC133" s="189"/>
      <c r="AD133" s="188"/>
    </row>
    <row r="134" spans="1:30" s="187" customFormat="1" ht="10.7" customHeight="1">
      <c r="A134" s="187" t="s">
        <v>137</v>
      </c>
      <c r="B134" s="352" t="s">
        <v>138</v>
      </c>
      <c r="C134" s="352"/>
      <c r="D134" s="352"/>
      <c r="E134" s="352"/>
      <c r="F134" s="195"/>
      <c r="G134" s="209"/>
      <c r="H134" s="209"/>
      <c r="I134" s="195"/>
      <c r="J134" s="208"/>
      <c r="K134" s="208"/>
      <c r="L134" s="197"/>
      <c r="M134" s="202"/>
      <c r="N134" s="207"/>
      <c r="O134" s="206"/>
      <c r="P134" s="206"/>
      <c r="Q134" s="188"/>
      <c r="R134" s="197"/>
      <c r="S134" s="196"/>
      <c r="T134" s="195"/>
      <c r="U134" s="188"/>
      <c r="V134" s="188"/>
      <c r="W134" s="188"/>
      <c r="X134" s="188"/>
      <c r="Y134" s="188"/>
      <c r="Z134" s="188"/>
      <c r="AA134" s="190"/>
      <c r="AB134" s="191"/>
      <c r="AC134" s="190"/>
      <c r="AD134" s="189"/>
    </row>
    <row r="135" spans="1:30" s="187" customFormat="1" ht="10.7" customHeight="1">
      <c r="B135" s="352"/>
      <c r="C135" s="352"/>
      <c r="D135" s="352"/>
      <c r="E135" s="352"/>
      <c r="F135" s="195"/>
      <c r="G135" s="209"/>
      <c r="H135" s="209"/>
      <c r="I135" s="195"/>
      <c r="J135" s="208"/>
      <c r="K135" s="208"/>
      <c r="L135" s="197"/>
      <c r="M135" s="202"/>
      <c r="N135" s="207"/>
      <c r="O135" s="206"/>
      <c r="P135" s="206"/>
      <c r="Q135" s="188"/>
      <c r="R135" s="197"/>
      <c r="S135" s="196"/>
      <c r="T135" s="195"/>
      <c r="U135" s="188"/>
      <c r="V135" s="188"/>
      <c r="W135" s="188"/>
      <c r="X135" s="188"/>
      <c r="Y135" s="188"/>
      <c r="Z135" s="188"/>
      <c r="AA135" s="190"/>
      <c r="AB135" s="191"/>
      <c r="AC135" s="190"/>
      <c r="AD135" s="189"/>
    </row>
    <row r="136" spans="1:30" s="187" customFormat="1" ht="10.7" customHeight="1">
      <c r="B136" s="195"/>
      <c r="C136" s="212"/>
      <c r="D136" s="211"/>
      <c r="E136" s="210"/>
      <c r="F136" s="195"/>
      <c r="G136" s="209"/>
      <c r="H136" s="209"/>
      <c r="I136" s="195"/>
      <c r="J136" s="208"/>
      <c r="K136" s="208"/>
      <c r="L136" s="197"/>
      <c r="M136" s="202"/>
      <c r="N136" s="207"/>
      <c r="O136" s="206"/>
      <c r="P136" s="206"/>
      <c r="Q136" s="196"/>
      <c r="R136" s="196"/>
      <c r="S136" s="196"/>
      <c r="T136" s="213"/>
      <c r="U136" s="188"/>
      <c r="V136" s="188"/>
      <c r="W136" s="188"/>
      <c r="X136" s="188"/>
      <c r="Y136" s="188"/>
      <c r="Z136" s="188"/>
      <c r="AA136" s="190"/>
      <c r="AB136" s="191"/>
      <c r="AC136" s="190"/>
      <c r="AD136" s="189"/>
    </row>
    <row r="137" spans="1:30" s="187" customFormat="1" ht="10.7" customHeight="1">
      <c r="B137" s="195"/>
      <c r="C137" s="212"/>
      <c r="D137" s="211"/>
      <c r="E137" s="210"/>
      <c r="F137" s="195"/>
      <c r="G137" s="209"/>
      <c r="H137" s="209"/>
      <c r="I137" s="195"/>
      <c r="J137" s="208"/>
      <c r="K137" s="208"/>
      <c r="L137" s="197"/>
      <c r="M137" s="202"/>
      <c r="N137" s="207"/>
      <c r="O137" s="206"/>
      <c r="P137" s="206"/>
      <c r="Q137" s="196"/>
      <c r="R137" s="196"/>
      <c r="S137" s="196"/>
      <c r="T137" s="195"/>
      <c r="U137" s="188"/>
      <c r="V137" s="188"/>
      <c r="W137" s="188"/>
      <c r="X137" s="188"/>
      <c r="Y137" s="188"/>
      <c r="Z137" s="188"/>
      <c r="AA137" s="190"/>
      <c r="AB137" s="191"/>
      <c r="AC137" s="190"/>
      <c r="AD137" s="189"/>
    </row>
    <row r="138" spans="1:30" s="187" customFormat="1" ht="10.7" customHeight="1">
      <c r="B138" s="200"/>
      <c r="C138" s="199"/>
      <c r="D138" s="205"/>
      <c r="E138" s="188"/>
      <c r="F138" s="200"/>
      <c r="G138" s="204"/>
      <c r="H138" s="204"/>
      <c r="I138" s="195"/>
      <c r="J138" s="203"/>
      <c r="K138" s="203"/>
      <c r="L138" s="197"/>
      <c r="M138" s="202"/>
      <c r="N138" s="202"/>
      <c r="O138" s="202"/>
      <c r="P138" s="202"/>
      <c r="Q138" s="196"/>
      <c r="R138" s="196"/>
      <c r="S138" s="196"/>
      <c r="T138" s="195"/>
      <c r="U138" s="188"/>
      <c r="V138" s="188"/>
      <c r="W138" s="188"/>
      <c r="X138" s="188"/>
      <c r="Y138" s="188"/>
      <c r="Z138" s="188"/>
      <c r="AA138" s="190"/>
      <c r="AB138" s="191"/>
      <c r="AC138" s="190"/>
      <c r="AD138" s="189"/>
    </row>
    <row r="139" spans="1:30" s="187" customFormat="1" ht="10.7" customHeight="1">
      <c r="A139" s="201"/>
      <c r="B139" s="189"/>
      <c r="C139" s="199"/>
      <c r="D139" s="188"/>
      <c r="E139" s="195"/>
      <c r="F139" s="195"/>
      <c r="G139" s="195"/>
      <c r="H139" s="195"/>
      <c r="I139" s="195"/>
      <c r="J139" s="195"/>
      <c r="K139" s="195"/>
      <c r="L139" s="197"/>
      <c r="M139" s="197"/>
      <c r="N139" s="197"/>
      <c r="O139" s="197"/>
      <c r="P139" s="197"/>
      <c r="Q139" s="196"/>
      <c r="R139" s="196"/>
      <c r="S139" s="196"/>
      <c r="T139" s="195"/>
      <c r="U139" s="188"/>
      <c r="V139" s="188"/>
      <c r="W139" s="188"/>
      <c r="X139" s="188"/>
      <c r="Y139" s="188"/>
      <c r="Z139" s="188"/>
      <c r="AA139" s="190"/>
      <c r="AB139" s="191"/>
      <c r="AC139" s="190"/>
      <c r="AD139" s="189"/>
    </row>
    <row r="140" spans="1:30" s="187" customFormat="1" ht="10.7" customHeight="1">
      <c r="A140" s="200"/>
      <c r="B140" s="188"/>
      <c r="C140" s="199"/>
      <c r="D140" s="198"/>
      <c r="E140" s="188"/>
      <c r="F140" s="195"/>
      <c r="G140" s="195"/>
      <c r="H140" s="195"/>
      <c r="I140" s="195"/>
      <c r="J140" s="195"/>
      <c r="K140" s="195"/>
      <c r="L140" s="197"/>
      <c r="M140" s="197"/>
      <c r="N140" s="197"/>
      <c r="O140" s="197"/>
      <c r="P140" s="197"/>
      <c r="Q140" s="196"/>
      <c r="R140" s="196"/>
      <c r="S140" s="196"/>
      <c r="T140" s="195"/>
      <c r="U140" s="188"/>
      <c r="V140" s="188"/>
      <c r="W140" s="188"/>
      <c r="X140" s="188"/>
      <c r="Y140" s="188"/>
      <c r="Z140" s="188"/>
      <c r="AA140" s="190"/>
      <c r="AB140" s="191"/>
      <c r="AC140" s="190"/>
      <c r="AD140" s="189"/>
    </row>
    <row r="141" spans="1:30" s="187" customFormat="1" ht="10.7" customHeight="1">
      <c r="A141" s="194"/>
      <c r="B141" s="194"/>
      <c r="C141" s="198"/>
      <c r="D141" s="195"/>
      <c r="E141" s="195"/>
      <c r="F141" s="192"/>
      <c r="G141" s="192"/>
      <c r="H141" s="192"/>
      <c r="I141" s="192"/>
      <c r="J141" s="192"/>
      <c r="K141" s="192"/>
      <c r="L141" s="197"/>
      <c r="M141" s="197"/>
      <c r="N141" s="197"/>
      <c r="O141" s="197"/>
      <c r="P141" s="197"/>
      <c r="Q141" s="196"/>
      <c r="R141" s="196"/>
      <c r="S141" s="196"/>
      <c r="T141" s="195"/>
      <c r="U141" s="188"/>
      <c r="V141" s="188"/>
      <c r="W141" s="188"/>
      <c r="X141" s="188"/>
      <c r="Y141" s="188"/>
      <c r="Z141" s="188"/>
      <c r="AA141" s="190"/>
      <c r="AB141" s="191"/>
      <c r="AC141" s="190"/>
      <c r="AD141" s="189"/>
    </row>
    <row r="142" spans="1:30" s="187" customFormat="1" ht="10.7" customHeight="1">
      <c r="A142" s="194"/>
      <c r="B142" s="194"/>
      <c r="C142" s="194"/>
      <c r="D142" s="188"/>
      <c r="E142" s="188"/>
      <c r="F142" s="193"/>
      <c r="G142" s="193"/>
      <c r="H142" s="193"/>
      <c r="I142" s="193"/>
      <c r="J142" s="193"/>
      <c r="K142" s="192"/>
      <c r="L142" s="188"/>
      <c r="M142" s="188"/>
      <c r="N142" s="188"/>
      <c r="O142" s="188"/>
      <c r="P142" s="188"/>
      <c r="Q142" s="188"/>
      <c r="R142" s="188"/>
      <c r="S142" s="190"/>
      <c r="T142" s="191"/>
      <c r="U142" s="190"/>
      <c r="V142" s="189"/>
      <c r="W142" s="188"/>
      <c r="X142" s="188"/>
      <c r="Y142" s="188"/>
      <c r="Z142" s="188"/>
      <c r="AA142" s="188"/>
      <c r="AB142" s="188"/>
      <c r="AC142" s="188"/>
      <c r="AD142" s="188"/>
    </row>
    <row r="143" spans="1:30" ht="10.7" customHeight="1">
      <c r="A143" s="186"/>
      <c r="B143" s="177"/>
      <c r="C143" s="159"/>
      <c r="D143" s="149"/>
      <c r="E143" s="149"/>
      <c r="F143" s="149"/>
      <c r="G143" s="161"/>
      <c r="H143" s="161"/>
      <c r="I143" s="176"/>
      <c r="J143" s="176"/>
      <c r="K143" s="176"/>
      <c r="L143" s="147"/>
      <c r="M143" s="147"/>
      <c r="N143" s="147"/>
      <c r="O143" s="147"/>
      <c r="P143" s="147"/>
      <c r="Q143" s="147"/>
      <c r="R143" s="147"/>
      <c r="S143" s="170"/>
      <c r="T143" s="163"/>
      <c r="U143" s="170"/>
      <c r="V143" s="150"/>
      <c r="W143" s="147"/>
      <c r="X143" s="147"/>
      <c r="Y143" s="147"/>
      <c r="Z143" s="147"/>
      <c r="AA143" s="147"/>
      <c r="AB143" s="147"/>
      <c r="AC143" s="147"/>
      <c r="AD143" s="147"/>
    </row>
    <row r="144" spans="1:30" ht="10.7" customHeight="1">
      <c r="A144" s="186"/>
      <c r="B144" s="177"/>
      <c r="C144" s="159"/>
      <c r="D144" s="149"/>
      <c r="E144" s="149"/>
      <c r="F144" s="149"/>
      <c r="G144" s="161"/>
      <c r="H144" s="161"/>
      <c r="I144" s="176"/>
      <c r="J144" s="176"/>
      <c r="K144" s="176"/>
      <c r="L144" s="147"/>
      <c r="M144" s="147"/>
      <c r="N144" s="147"/>
      <c r="O144" s="147"/>
      <c r="P144" s="147"/>
      <c r="Q144" s="147"/>
      <c r="R144" s="147"/>
      <c r="S144" s="170"/>
      <c r="T144" s="163"/>
      <c r="U144" s="170"/>
      <c r="V144" s="150"/>
      <c r="W144" s="147"/>
      <c r="X144" s="147"/>
      <c r="Y144" s="147"/>
      <c r="Z144" s="147"/>
      <c r="AA144" s="147"/>
      <c r="AB144" s="147"/>
      <c r="AC144" s="147"/>
      <c r="AD144" s="147"/>
    </row>
    <row r="145" spans="1:30" ht="10.7" customHeight="1">
      <c r="A145" s="180"/>
      <c r="B145" s="177"/>
      <c r="C145" s="159"/>
      <c r="D145" s="149"/>
      <c r="E145" s="149"/>
      <c r="F145" s="149"/>
      <c r="G145" s="161"/>
      <c r="H145" s="161"/>
      <c r="I145" s="176"/>
      <c r="J145" s="176"/>
      <c r="K145" s="176"/>
      <c r="L145" s="147"/>
      <c r="M145" s="147"/>
      <c r="N145" s="147"/>
      <c r="O145" s="147"/>
      <c r="P145" s="147"/>
      <c r="Q145" s="147"/>
      <c r="R145" s="147"/>
      <c r="S145" s="170"/>
      <c r="T145" s="163"/>
      <c r="U145" s="170"/>
      <c r="V145" s="150"/>
      <c r="W145" s="147"/>
      <c r="X145" s="147"/>
      <c r="Y145" s="147"/>
      <c r="Z145" s="147"/>
      <c r="AA145" s="147"/>
      <c r="AB145" s="147"/>
      <c r="AC145" s="147"/>
      <c r="AD145" s="147"/>
    </row>
    <row r="146" spans="1:30" ht="10.7" customHeight="1">
      <c r="A146" s="180"/>
      <c r="B146" s="177"/>
      <c r="C146" s="159"/>
      <c r="D146" s="149"/>
      <c r="E146" s="150"/>
      <c r="F146" s="165"/>
      <c r="G146" s="161"/>
      <c r="H146" s="161"/>
      <c r="I146" s="176"/>
      <c r="J146" s="176"/>
      <c r="K146" s="176"/>
      <c r="L146" s="147"/>
      <c r="M146" s="147"/>
      <c r="N146" s="147"/>
      <c r="O146" s="147"/>
      <c r="P146" s="147"/>
      <c r="Q146" s="147"/>
      <c r="R146" s="147"/>
      <c r="S146" s="170"/>
      <c r="T146" s="163"/>
      <c r="U146" s="170"/>
      <c r="V146" s="150"/>
      <c r="W146" s="147"/>
      <c r="X146" s="147"/>
      <c r="Y146" s="147"/>
      <c r="Z146" s="147"/>
      <c r="AA146" s="147"/>
      <c r="AB146" s="147"/>
      <c r="AC146" s="147"/>
      <c r="AD146" s="147"/>
    </row>
    <row r="147" spans="1:30" ht="10.7" customHeight="1">
      <c r="A147" s="180"/>
      <c r="B147" s="177"/>
      <c r="C147" s="159"/>
      <c r="D147" s="149"/>
      <c r="E147" s="165"/>
      <c r="F147" s="165"/>
      <c r="G147" s="161"/>
      <c r="H147" s="161"/>
      <c r="I147" s="176"/>
      <c r="J147" s="176"/>
      <c r="K147" s="176"/>
      <c r="L147" s="147"/>
      <c r="M147" s="147"/>
      <c r="N147" s="147"/>
      <c r="O147" s="147"/>
      <c r="P147" s="147"/>
      <c r="Q147" s="147"/>
      <c r="R147" s="147"/>
      <c r="S147" s="170"/>
      <c r="T147" s="163"/>
      <c r="U147" s="170"/>
      <c r="V147" s="150"/>
      <c r="W147" s="147"/>
      <c r="X147" s="147"/>
      <c r="Y147" s="147"/>
      <c r="Z147" s="147"/>
      <c r="AA147" s="147"/>
      <c r="AB147" s="147"/>
      <c r="AC147" s="147"/>
      <c r="AD147" s="147"/>
    </row>
    <row r="148" spans="1:30" ht="10.7" customHeight="1">
      <c r="A148" s="180"/>
      <c r="B148" s="177"/>
      <c r="C148" s="159"/>
      <c r="D148" s="149"/>
      <c r="E148" s="165"/>
      <c r="F148" s="165"/>
      <c r="G148" s="161"/>
      <c r="H148" s="161"/>
      <c r="I148" s="176"/>
      <c r="J148" s="176"/>
      <c r="K148" s="176"/>
      <c r="L148" s="147"/>
      <c r="M148" s="147"/>
      <c r="N148" s="147"/>
      <c r="O148" s="147"/>
      <c r="P148" s="147"/>
      <c r="Q148" s="147"/>
      <c r="R148" s="147"/>
      <c r="S148" s="170"/>
      <c r="T148" s="163"/>
      <c r="U148" s="170"/>
      <c r="V148" s="150"/>
      <c r="W148" s="147"/>
      <c r="X148" s="147"/>
      <c r="Y148" s="147"/>
      <c r="Z148" s="147"/>
      <c r="AA148" s="147"/>
      <c r="AB148" s="147"/>
      <c r="AC148" s="147"/>
      <c r="AD148" s="147"/>
    </row>
    <row r="149" spans="1:30" ht="10.7" customHeight="1">
      <c r="A149" s="180"/>
      <c r="B149" s="177"/>
      <c r="C149" s="159"/>
      <c r="D149" s="149"/>
      <c r="E149" s="165"/>
      <c r="F149" s="165"/>
      <c r="G149" s="161"/>
      <c r="H149" s="161"/>
      <c r="I149" s="176"/>
      <c r="J149" s="176"/>
      <c r="K149" s="176"/>
      <c r="L149" s="147"/>
      <c r="M149" s="147"/>
      <c r="N149" s="147"/>
      <c r="O149" s="147"/>
      <c r="P149" s="147"/>
      <c r="Q149" s="147"/>
      <c r="R149" s="147"/>
      <c r="S149" s="170"/>
      <c r="T149" s="163"/>
      <c r="U149" s="170"/>
      <c r="V149" s="150"/>
      <c r="W149" s="147"/>
      <c r="X149" s="147"/>
      <c r="Y149" s="147"/>
      <c r="Z149" s="147"/>
      <c r="AA149" s="147"/>
      <c r="AB149" s="147"/>
      <c r="AC149" s="147"/>
      <c r="AD149" s="147"/>
    </row>
    <row r="150" spans="1:30" ht="10.7" customHeight="1">
      <c r="A150" s="180"/>
      <c r="B150" s="177"/>
      <c r="C150" s="159"/>
      <c r="D150" s="149"/>
      <c r="E150" s="165"/>
      <c r="F150" s="165"/>
      <c r="G150" s="161"/>
      <c r="H150" s="161"/>
      <c r="I150" s="176"/>
      <c r="J150" s="176"/>
      <c r="K150" s="176"/>
      <c r="L150" s="147"/>
      <c r="M150" s="147"/>
      <c r="N150" s="147"/>
      <c r="O150" s="147"/>
      <c r="P150" s="147"/>
      <c r="Q150" s="147"/>
      <c r="R150" s="147"/>
      <c r="S150" s="170"/>
      <c r="T150" s="163"/>
      <c r="U150" s="170"/>
      <c r="V150" s="150"/>
      <c r="W150" s="147"/>
      <c r="X150" s="147"/>
      <c r="Y150" s="147"/>
      <c r="Z150" s="147"/>
      <c r="AA150" s="147"/>
      <c r="AB150" s="147"/>
      <c r="AC150" s="147"/>
      <c r="AD150" s="147"/>
    </row>
    <row r="151" spans="1:30" ht="10.7" customHeight="1">
      <c r="A151" s="180"/>
      <c r="B151" s="185"/>
      <c r="C151" s="159"/>
      <c r="D151" s="149"/>
      <c r="E151" s="165"/>
      <c r="F151" s="165"/>
      <c r="G151" s="161"/>
      <c r="H151" s="161"/>
      <c r="I151" s="176"/>
      <c r="J151" s="176"/>
      <c r="K151" s="176"/>
      <c r="L151" s="147"/>
      <c r="M151" s="147"/>
      <c r="N151" s="147"/>
      <c r="O151" s="147"/>
      <c r="P151" s="147"/>
      <c r="Q151" s="147"/>
      <c r="R151" s="147"/>
      <c r="S151" s="170"/>
      <c r="T151" s="163"/>
      <c r="U151" s="170"/>
      <c r="V151" s="150"/>
      <c r="W151" s="147"/>
      <c r="X151" s="147"/>
      <c r="Y151" s="147"/>
      <c r="Z151" s="147"/>
      <c r="AA151" s="147"/>
      <c r="AB151" s="147"/>
      <c r="AC151" s="147"/>
      <c r="AD151" s="147"/>
    </row>
    <row r="152" spans="1:30" ht="10.7" customHeight="1">
      <c r="A152" s="149"/>
      <c r="B152" s="177"/>
      <c r="C152" s="159"/>
      <c r="D152" s="149"/>
      <c r="E152" s="165"/>
      <c r="F152" s="165"/>
      <c r="G152" s="161"/>
      <c r="H152" s="161"/>
      <c r="I152" s="176"/>
      <c r="J152" s="176"/>
      <c r="K152" s="176"/>
      <c r="L152" s="147"/>
      <c r="M152" s="147"/>
      <c r="N152" s="147"/>
      <c r="O152" s="147"/>
      <c r="P152" s="147"/>
      <c r="Q152" s="147"/>
      <c r="R152" s="147"/>
      <c r="S152" s="170"/>
      <c r="T152" s="163"/>
      <c r="U152" s="170"/>
      <c r="V152" s="150"/>
      <c r="W152" s="147"/>
      <c r="X152" s="147"/>
      <c r="Y152" s="147"/>
      <c r="Z152" s="147"/>
      <c r="AA152" s="147"/>
      <c r="AB152" s="147"/>
      <c r="AC152" s="147"/>
      <c r="AD152" s="147"/>
    </row>
    <row r="153" spans="1:30" ht="10.7" customHeight="1">
      <c r="A153" s="184"/>
      <c r="B153" s="150"/>
      <c r="C153" s="178"/>
      <c r="D153" s="147"/>
      <c r="E153" s="149"/>
      <c r="F153" s="149"/>
      <c r="G153" s="161"/>
      <c r="H153" s="161"/>
      <c r="I153" s="176"/>
      <c r="J153" s="176"/>
      <c r="K153" s="176"/>
      <c r="L153" s="147"/>
      <c r="M153" s="147"/>
      <c r="N153" s="147"/>
      <c r="O153" s="147"/>
      <c r="P153" s="147"/>
      <c r="Q153" s="147"/>
      <c r="R153" s="147"/>
      <c r="S153" s="170"/>
      <c r="T153" s="163"/>
      <c r="U153" s="170"/>
      <c r="V153" s="150"/>
      <c r="W153" s="147"/>
      <c r="X153" s="147"/>
      <c r="Y153" s="147"/>
      <c r="Z153" s="147"/>
      <c r="AA153" s="147"/>
      <c r="AB153" s="147"/>
      <c r="AC153" s="147"/>
      <c r="AD153" s="147"/>
    </row>
    <row r="154" spans="1:30" ht="10.7" customHeight="1">
      <c r="A154" s="184"/>
      <c r="B154" s="149"/>
      <c r="C154" s="178"/>
      <c r="D154" s="177"/>
      <c r="E154" s="149"/>
      <c r="F154" s="149"/>
      <c r="G154" s="149"/>
      <c r="H154" s="149"/>
      <c r="I154" s="161"/>
      <c r="J154" s="176"/>
      <c r="K154" s="176"/>
      <c r="L154" s="176"/>
      <c r="M154" s="147"/>
      <c r="N154" s="147"/>
      <c r="O154" s="147"/>
      <c r="P154" s="147"/>
      <c r="Q154" s="147"/>
      <c r="R154" s="147"/>
      <c r="S154" s="147"/>
      <c r="T154" s="170"/>
      <c r="U154" s="163"/>
      <c r="V154" s="170"/>
      <c r="W154" s="150"/>
      <c r="X154" s="147"/>
      <c r="Y154" s="147"/>
      <c r="Z154" s="147"/>
      <c r="AA154" s="147"/>
      <c r="AB154" s="147"/>
      <c r="AC154" s="147"/>
      <c r="AD154" s="147"/>
    </row>
    <row r="155" spans="1:30" ht="10.7" customHeight="1">
      <c r="A155" s="184"/>
      <c r="B155" s="147"/>
      <c r="C155" s="178"/>
      <c r="D155" s="159"/>
      <c r="E155" s="149"/>
      <c r="F155" s="149"/>
      <c r="G155" s="149"/>
      <c r="H155" s="149"/>
      <c r="I155" s="161"/>
      <c r="J155" s="176"/>
      <c r="K155" s="176"/>
      <c r="L155" s="176"/>
      <c r="M155" s="147"/>
      <c r="N155" s="147"/>
      <c r="O155" s="147"/>
      <c r="P155" s="147"/>
      <c r="Q155" s="147"/>
      <c r="R155" s="147"/>
      <c r="S155" s="147"/>
      <c r="T155" s="170"/>
      <c r="U155" s="163"/>
      <c r="V155" s="170"/>
      <c r="W155" s="150"/>
      <c r="X155" s="147"/>
      <c r="Y155" s="147"/>
      <c r="Z155" s="147"/>
      <c r="AA155" s="147"/>
      <c r="AB155" s="147"/>
      <c r="AC155" s="147"/>
      <c r="AD155" s="147"/>
    </row>
    <row r="156" spans="1:30" ht="10.7" customHeight="1">
      <c r="A156" s="165"/>
      <c r="B156" s="149"/>
      <c r="C156" s="178"/>
      <c r="D156" s="179"/>
      <c r="E156" s="183"/>
      <c r="F156" s="149"/>
      <c r="G156" s="149"/>
      <c r="H156" s="149"/>
      <c r="I156" s="149"/>
      <c r="J156" s="161"/>
      <c r="K156" s="176"/>
      <c r="L156" s="176"/>
      <c r="M156" s="176"/>
      <c r="N156" s="147"/>
      <c r="O156" s="147"/>
      <c r="P156" s="147"/>
      <c r="Q156" s="147"/>
      <c r="R156" s="147"/>
      <c r="S156" s="147"/>
      <c r="T156" s="147"/>
      <c r="U156" s="170"/>
      <c r="V156" s="163"/>
      <c r="W156" s="170"/>
      <c r="X156" s="150"/>
      <c r="Y156" s="147"/>
      <c r="Z156" s="147"/>
      <c r="AA156" s="147"/>
      <c r="AB156" s="147"/>
      <c r="AC156" s="147"/>
      <c r="AD156" s="147"/>
    </row>
    <row r="157" spans="1:30" ht="10.7" customHeight="1">
      <c r="A157" s="165"/>
      <c r="B157" s="149"/>
      <c r="C157" s="178"/>
      <c r="D157" s="179"/>
      <c r="E157" s="183"/>
      <c r="F157" s="149"/>
      <c r="G157" s="149"/>
      <c r="H157" s="149"/>
      <c r="I157" s="149"/>
      <c r="J157" s="161"/>
      <c r="K157" s="176"/>
      <c r="L157" s="176"/>
      <c r="M157" s="176"/>
      <c r="N157" s="147"/>
      <c r="O157" s="147"/>
      <c r="P157" s="147"/>
      <c r="Q157" s="147"/>
      <c r="R157" s="147"/>
      <c r="S157" s="147"/>
      <c r="T157" s="147"/>
      <c r="U157" s="170"/>
      <c r="V157" s="163"/>
      <c r="W157" s="170"/>
      <c r="X157" s="150"/>
      <c r="Y157" s="147"/>
      <c r="Z157" s="147"/>
      <c r="AA157" s="147"/>
      <c r="AB157" s="147"/>
      <c r="AC157" s="147"/>
      <c r="AD157" s="147"/>
    </row>
    <row r="158" spans="1:30" ht="10.7" customHeight="1">
      <c r="A158" s="165"/>
      <c r="B158" s="149"/>
      <c r="C158" s="178"/>
      <c r="D158" s="179"/>
      <c r="E158" s="183"/>
      <c r="F158" s="149"/>
      <c r="G158" s="149"/>
      <c r="H158" s="149"/>
      <c r="I158" s="149"/>
      <c r="J158" s="161"/>
      <c r="K158" s="176"/>
      <c r="L158" s="176"/>
      <c r="M158" s="176"/>
      <c r="N158" s="147"/>
      <c r="O158" s="147"/>
      <c r="P158" s="147"/>
      <c r="Q158" s="147"/>
      <c r="R158" s="147"/>
      <c r="S158" s="147"/>
      <c r="T158" s="147"/>
      <c r="U158" s="170"/>
      <c r="V158" s="163"/>
      <c r="W158" s="170"/>
      <c r="X158" s="150"/>
      <c r="Y158" s="147"/>
      <c r="Z158" s="147"/>
      <c r="AA158" s="147"/>
      <c r="AB158" s="147"/>
      <c r="AC158" s="147"/>
      <c r="AD158" s="147"/>
    </row>
    <row r="159" spans="1:30" ht="10.7" customHeight="1">
      <c r="A159" s="165"/>
      <c r="B159" s="165"/>
      <c r="C159" s="178"/>
      <c r="D159" s="182"/>
      <c r="E159" s="181"/>
      <c r="F159" s="149"/>
      <c r="G159" s="149"/>
      <c r="H159" s="149"/>
      <c r="I159" s="149"/>
      <c r="J159" s="161"/>
      <c r="K159" s="176"/>
      <c r="L159" s="176"/>
      <c r="M159" s="176"/>
      <c r="N159" s="147"/>
      <c r="O159" s="147"/>
      <c r="P159" s="147"/>
      <c r="Q159" s="147"/>
      <c r="R159" s="147"/>
      <c r="S159" s="147"/>
      <c r="T159" s="147"/>
      <c r="U159" s="170"/>
      <c r="V159" s="163"/>
      <c r="W159" s="170"/>
      <c r="X159" s="150"/>
      <c r="Y159" s="147"/>
      <c r="Z159" s="147"/>
      <c r="AA159" s="147"/>
      <c r="AB159" s="147"/>
      <c r="AC159" s="147"/>
      <c r="AD159" s="147"/>
    </row>
    <row r="160" spans="1:30" ht="10.7" customHeight="1">
      <c r="A160" s="165"/>
      <c r="B160" s="147"/>
      <c r="C160" s="178"/>
      <c r="D160" s="159"/>
      <c r="E160" s="147"/>
      <c r="F160" s="149"/>
      <c r="G160" s="149"/>
      <c r="H160" s="149"/>
      <c r="I160" s="149"/>
      <c r="J160" s="161"/>
      <c r="K160" s="176"/>
      <c r="L160" s="176"/>
      <c r="M160" s="176"/>
      <c r="N160" s="147"/>
      <c r="O160" s="147"/>
      <c r="P160" s="147"/>
      <c r="Q160" s="147"/>
      <c r="R160" s="147"/>
      <c r="S160" s="147"/>
      <c r="T160" s="147"/>
      <c r="U160" s="170"/>
      <c r="V160" s="163"/>
      <c r="W160" s="170"/>
      <c r="X160" s="150"/>
      <c r="Y160" s="147"/>
      <c r="Z160" s="147"/>
      <c r="AA160" s="147"/>
      <c r="AB160" s="147"/>
      <c r="AC160" s="147"/>
      <c r="AD160" s="147"/>
    </row>
    <row r="161" spans="1:30" ht="10.7" customHeight="1">
      <c r="A161" s="165"/>
      <c r="B161" s="147"/>
      <c r="C161" s="178"/>
      <c r="D161" s="159"/>
      <c r="E161" s="147"/>
      <c r="F161" s="149"/>
      <c r="G161" s="149"/>
      <c r="H161" s="149"/>
      <c r="I161" s="149"/>
      <c r="J161" s="161"/>
      <c r="K161" s="176"/>
      <c r="L161" s="176"/>
      <c r="M161" s="176"/>
      <c r="N161" s="147"/>
      <c r="O161" s="147"/>
      <c r="P161" s="147"/>
      <c r="Q161" s="147"/>
      <c r="R161" s="147"/>
      <c r="S161" s="147"/>
      <c r="T161" s="147"/>
      <c r="U161" s="170"/>
      <c r="V161" s="163"/>
      <c r="W161" s="170"/>
      <c r="X161" s="150"/>
      <c r="Y161" s="147"/>
      <c r="Z161" s="147"/>
      <c r="AA161" s="147"/>
      <c r="AB161" s="147"/>
      <c r="AC161" s="147"/>
      <c r="AD161" s="147"/>
    </row>
    <row r="162" spans="1:30" ht="10.7" customHeight="1">
      <c r="A162" s="165"/>
      <c r="B162" s="149"/>
      <c r="C162" s="178"/>
      <c r="D162" s="177"/>
      <c r="E162" s="149"/>
      <c r="F162" s="149"/>
      <c r="G162" s="149"/>
      <c r="H162" s="149"/>
      <c r="I162" s="149"/>
      <c r="J162" s="161"/>
      <c r="K162" s="176"/>
      <c r="L162" s="176"/>
      <c r="M162" s="176"/>
      <c r="N162" s="147"/>
      <c r="O162" s="147"/>
      <c r="P162" s="147"/>
      <c r="Q162" s="147"/>
      <c r="R162" s="147"/>
      <c r="S162" s="147"/>
      <c r="T162" s="147"/>
      <c r="U162" s="170"/>
      <c r="V162" s="163"/>
      <c r="W162" s="170"/>
      <c r="X162" s="150"/>
      <c r="Y162" s="147"/>
      <c r="Z162" s="147"/>
      <c r="AA162" s="147"/>
      <c r="AB162" s="147"/>
      <c r="AC162" s="147"/>
      <c r="AD162" s="147"/>
    </row>
    <row r="163" spans="1:30" ht="10.7" customHeight="1">
      <c r="A163" s="165"/>
      <c r="B163" s="149"/>
      <c r="C163" s="180"/>
      <c r="D163" s="159"/>
      <c r="E163" s="147"/>
      <c r="F163" s="149"/>
      <c r="G163" s="149"/>
      <c r="H163" s="149"/>
      <c r="I163" s="149"/>
      <c r="J163" s="161"/>
      <c r="K163" s="176"/>
      <c r="L163" s="176"/>
      <c r="M163" s="176"/>
      <c r="N163" s="147"/>
      <c r="O163" s="147"/>
      <c r="P163" s="147"/>
      <c r="Q163" s="147"/>
      <c r="R163" s="147"/>
      <c r="S163" s="147"/>
      <c r="T163" s="147"/>
      <c r="U163" s="170"/>
      <c r="V163" s="163"/>
      <c r="W163" s="170"/>
      <c r="X163" s="150"/>
      <c r="Y163" s="147"/>
      <c r="Z163" s="147"/>
      <c r="AA163" s="147"/>
      <c r="AB163" s="147"/>
      <c r="AC163" s="147"/>
      <c r="AD163" s="147"/>
    </row>
    <row r="164" spans="1:30" ht="10.7" customHeight="1">
      <c r="A164" s="165"/>
      <c r="B164" s="149"/>
      <c r="C164" s="178"/>
      <c r="D164" s="179"/>
      <c r="E164" s="147"/>
      <c r="F164" s="149"/>
      <c r="G164" s="149"/>
      <c r="H164" s="149"/>
      <c r="I164" s="149"/>
      <c r="J164" s="161"/>
      <c r="K164" s="176"/>
      <c r="L164" s="176"/>
      <c r="M164" s="176"/>
      <c r="N164" s="147"/>
      <c r="O164" s="147"/>
      <c r="P164" s="147"/>
      <c r="Q164" s="147"/>
      <c r="R164" s="147"/>
      <c r="S164" s="147"/>
      <c r="T164" s="147"/>
      <c r="U164" s="170"/>
      <c r="V164" s="163"/>
      <c r="W164" s="170"/>
      <c r="X164" s="150"/>
      <c r="Y164" s="147"/>
      <c r="Z164" s="147"/>
      <c r="AA164" s="147"/>
      <c r="AB164" s="147"/>
      <c r="AC164" s="147"/>
      <c r="AD164" s="147"/>
    </row>
    <row r="165" spans="1:30" ht="10.7" customHeight="1">
      <c r="A165" s="165"/>
      <c r="B165" s="149"/>
      <c r="C165" s="178"/>
      <c r="D165" s="179"/>
      <c r="E165" s="147"/>
      <c r="F165" s="149"/>
      <c r="G165" s="149"/>
      <c r="H165" s="149"/>
      <c r="I165" s="149"/>
      <c r="J165" s="161"/>
      <c r="K165" s="176"/>
      <c r="L165" s="176"/>
      <c r="M165" s="176"/>
      <c r="N165" s="147"/>
      <c r="O165" s="147"/>
      <c r="P165" s="147"/>
      <c r="Q165" s="147"/>
      <c r="R165" s="147"/>
      <c r="S165" s="147"/>
      <c r="T165" s="147"/>
      <c r="U165" s="170"/>
      <c r="V165" s="163"/>
      <c r="W165" s="170"/>
      <c r="X165" s="150"/>
      <c r="Y165" s="147"/>
      <c r="Z165" s="147"/>
      <c r="AA165" s="147"/>
      <c r="AB165" s="147"/>
      <c r="AC165" s="147"/>
      <c r="AD165" s="147"/>
    </row>
    <row r="166" spans="1:30" ht="10.7" customHeight="1">
      <c r="A166" s="165"/>
      <c r="B166" s="149"/>
      <c r="C166" s="178"/>
      <c r="D166" s="179"/>
      <c r="E166" s="147"/>
      <c r="F166" s="149"/>
      <c r="G166" s="149"/>
      <c r="H166" s="149"/>
      <c r="I166" s="149"/>
      <c r="J166" s="161"/>
      <c r="K166" s="176"/>
      <c r="L166" s="176"/>
      <c r="M166" s="176"/>
      <c r="N166" s="147"/>
      <c r="O166" s="147"/>
      <c r="P166" s="147"/>
      <c r="Q166" s="147"/>
      <c r="R166" s="147"/>
      <c r="S166" s="147"/>
      <c r="T166" s="147"/>
      <c r="U166" s="170"/>
      <c r="V166" s="163"/>
      <c r="W166" s="170"/>
      <c r="X166" s="150"/>
      <c r="Y166" s="147"/>
      <c r="Z166" s="147"/>
      <c r="AA166" s="147"/>
      <c r="AB166" s="147"/>
      <c r="AC166" s="147"/>
      <c r="AD166" s="147"/>
    </row>
    <row r="167" spans="1:30" ht="10.7" customHeight="1">
      <c r="A167" s="165"/>
      <c r="B167" s="149"/>
      <c r="C167" s="178"/>
      <c r="D167" s="179"/>
      <c r="E167" s="147"/>
      <c r="F167" s="149"/>
      <c r="G167" s="149"/>
      <c r="H167" s="149"/>
      <c r="I167" s="149"/>
      <c r="J167" s="161"/>
      <c r="K167" s="176"/>
      <c r="L167" s="176"/>
      <c r="M167" s="176"/>
      <c r="N167" s="147"/>
      <c r="O167" s="147"/>
      <c r="P167" s="147"/>
      <c r="Q167" s="147"/>
      <c r="R167" s="147"/>
      <c r="S167" s="147"/>
      <c r="T167" s="147"/>
      <c r="U167" s="170"/>
      <c r="V167" s="163"/>
      <c r="W167" s="170"/>
      <c r="X167" s="150"/>
      <c r="Y167" s="147"/>
      <c r="Z167" s="147"/>
      <c r="AA167" s="147"/>
      <c r="AB167" s="147"/>
      <c r="AC167" s="147"/>
      <c r="AD167" s="147"/>
    </row>
    <row r="168" spans="1:30" ht="10.7" customHeight="1">
      <c r="A168" s="165"/>
      <c r="B168" s="147"/>
      <c r="C168" s="178"/>
      <c r="D168" s="159"/>
      <c r="E168" s="147"/>
      <c r="F168" s="149"/>
      <c r="G168" s="149"/>
      <c r="H168" s="149"/>
      <c r="I168" s="149"/>
      <c r="J168" s="161"/>
      <c r="K168" s="176"/>
      <c r="L168" s="176"/>
      <c r="M168" s="176"/>
      <c r="N168" s="147"/>
      <c r="O168" s="147"/>
      <c r="P168" s="147"/>
      <c r="Q168" s="147"/>
      <c r="R168" s="147"/>
      <c r="S168" s="147"/>
      <c r="T168" s="147"/>
      <c r="U168" s="170"/>
      <c r="V168" s="163"/>
      <c r="W168" s="170"/>
      <c r="X168" s="150"/>
      <c r="Y168" s="147"/>
      <c r="Z168" s="147"/>
      <c r="AA168" s="147"/>
      <c r="AB168" s="147"/>
      <c r="AC168" s="147"/>
      <c r="AD168" s="147"/>
    </row>
    <row r="169" spans="1:30" ht="10.7" customHeight="1">
      <c r="A169" s="165"/>
      <c r="B169" s="147"/>
      <c r="C169" s="178"/>
      <c r="D169" s="159"/>
      <c r="E169" s="147"/>
      <c r="F169" s="149"/>
      <c r="G169" s="149"/>
      <c r="H169" s="149"/>
      <c r="I169" s="149"/>
      <c r="J169" s="161"/>
      <c r="K169" s="176"/>
      <c r="L169" s="176"/>
      <c r="M169" s="176"/>
      <c r="N169" s="147"/>
      <c r="O169" s="147"/>
      <c r="P169" s="147"/>
      <c r="Q169" s="147"/>
      <c r="R169" s="147"/>
      <c r="S169" s="147"/>
      <c r="T169" s="147"/>
      <c r="U169" s="170"/>
      <c r="V169" s="163"/>
      <c r="W169" s="170"/>
      <c r="X169" s="150"/>
      <c r="Y169" s="147"/>
      <c r="Z169" s="147"/>
      <c r="AA169" s="147"/>
      <c r="AB169" s="147"/>
      <c r="AC169" s="147"/>
      <c r="AD169" s="147"/>
    </row>
    <row r="170" spans="1:30" ht="10.7" customHeight="1">
      <c r="A170" s="165"/>
      <c r="B170" s="147"/>
      <c r="C170" s="178"/>
      <c r="D170" s="159"/>
      <c r="E170" s="147"/>
      <c r="F170" s="149"/>
      <c r="G170" s="149"/>
      <c r="H170" s="149"/>
      <c r="I170" s="149"/>
      <c r="J170" s="161"/>
      <c r="K170" s="176"/>
      <c r="L170" s="176"/>
      <c r="M170" s="176"/>
      <c r="N170" s="147"/>
      <c r="O170" s="147"/>
      <c r="P170" s="147"/>
      <c r="Q170" s="147"/>
      <c r="R170" s="147"/>
      <c r="S170" s="147"/>
      <c r="T170" s="147"/>
      <c r="U170" s="170"/>
      <c r="V170" s="163"/>
      <c r="W170" s="170"/>
      <c r="X170" s="150"/>
      <c r="Y170" s="147"/>
      <c r="Z170" s="147"/>
      <c r="AA170" s="147"/>
      <c r="AB170" s="147"/>
      <c r="AC170" s="147"/>
      <c r="AD170" s="147"/>
    </row>
    <row r="171" spans="1:30" ht="10.7" customHeight="1">
      <c r="A171" s="165"/>
      <c r="B171" s="147"/>
      <c r="C171" s="178"/>
      <c r="D171" s="159"/>
      <c r="E171" s="147"/>
      <c r="F171" s="149"/>
      <c r="G171" s="149"/>
      <c r="H171" s="149"/>
      <c r="I171" s="149"/>
      <c r="J171" s="161"/>
      <c r="K171" s="176"/>
      <c r="L171" s="176"/>
      <c r="M171" s="176"/>
      <c r="N171" s="147"/>
      <c r="O171" s="147"/>
      <c r="P171" s="147"/>
      <c r="Q171" s="147"/>
      <c r="R171" s="147"/>
      <c r="S171" s="147"/>
      <c r="T171" s="147"/>
      <c r="U171" s="170"/>
      <c r="V171" s="163"/>
      <c r="W171" s="170"/>
      <c r="X171" s="150"/>
      <c r="Y171" s="147"/>
      <c r="Z171" s="147"/>
      <c r="AA171" s="147"/>
      <c r="AB171" s="147"/>
      <c r="AC171" s="147"/>
      <c r="AD171" s="147"/>
    </row>
    <row r="172" spans="1:30" ht="10.7" customHeight="1">
      <c r="A172" s="165"/>
      <c r="B172" s="147"/>
      <c r="C172" s="178"/>
      <c r="D172" s="159"/>
      <c r="E172" s="147"/>
      <c r="F172" s="149"/>
      <c r="G172" s="149"/>
      <c r="H172" s="149"/>
      <c r="I172" s="149"/>
      <c r="J172" s="161"/>
      <c r="K172" s="176"/>
      <c r="L172" s="176"/>
      <c r="M172" s="176"/>
      <c r="N172" s="147"/>
      <c r="O172" s="147"/>
      <c r="P172" s="147"/>
      <c r="Q172" s="147"/>
      <c r="R172" s="147"/>
      <c r="S172" s="147"/>
      <c r="T172" s="147"/>
      <c r="U172" s="170"/>
      <c r="V172" s="163"/>
      <c r="W172" s="170"/>
      <c r="X172" s="150"/>
      <c r="Y172" s="147"/>
      <c r="Z172" s="147"/>
      <c r="AA172" s="147"/>
      <c r="AB172" s="147"/>
      <c r="AC172" s="147"/>
      <c r="AD172" s="147"/>
    </row>
    <row r="173" spans="1:30" ht="10.7" customHeight="1">
      <c r="A173" s="165"/>
      <c r="B173" s="147"/>
      <c r="C173" s="178"/>
      <c r="D173" s="159"/>
      <c r="E173" s="147"/>
      <c r="F173" s="149"/>
      <c r="G173" s="149"/>
      <c r="H173" s="149"/>
      <c r="I173" s="149"/>
      <c r="J173" s="161"/>
      <c r="K173" s="176"/>
      <c r="L173" s="176"/>
      <c r="M173" s="176"/>
      <c r="N173" s="147"/>
      <c r="O173" s="147"/>
      <c r="P173" s="147"/>
      <c r="Q173" s="147"/>
      <c r="R173" s="147"/>
      <c r="S173" s="147"/>
      <c r="T173" s="147"/>
      <c r="U173" s="170"/>
      <c r="V173" s="163"/>
      <c r="W173" s="170"/>
      <c r="X173" s="150"/>
      <c r="Y173" s="147"/>
      <c r="Z173" s="147"/>
      <c r="AA173" s="147"/>
      <c r="AB173" s="147"/>
      <c r="AC173" s="147"/>
      <c r="AD173" s="147"/>
    </row>
    <row r="174" spans="1:30" ht="10.7" customHeight="1">
      <c r="A174" s="165"/>
      <c r="B174" s="147"/>
      <c r="C174" s="178"/>
      <c r="D174" s="159"/>
      <c r="E174" s="147"/>
      <c r="F174" s="149"/>
      <c r="G174" s="149"/>
      <c r="H174" s="149"/>
      <c r="I174" s="149"/>
      <c r="J174" s="161"/>
      <c r="K174" s="176"/>
      <c r="L174" s="176"/>
      <c r="M174" s="176"/>
      <c r="N174" s="147"/>
      <c r="O174" s="147"/>
      <c r="P174" s="147"/>
      <c r="Q174" s="147"/>
      <c r="R174" s="147"/>
      <c r="S174" s="147"/>
      <c r="T174" s="147"/>
      <c r="U174" s="170"/>
      <c r="V174" s="163"/>
      <c r="W174" s="170"/>
      <c r="X174" s="150"/>
      <c r="Y174" s="147"/>
      <c r="Z174" s="147"/>
      <c r="AA174" s="147"/>
      <c r="AB174" s="147"/>
      <c r="AC174" s="147"/>
      <c r="AD174" s="147"/>
    </row>
    <row r="175" spans="1:30" ht="10.7" customHeight="1">
      <c r="A175" s="165"/>
      <c r="B175" s="147"/>
      <c r="C175" s="178"/>
      <c r="D175" s="159"/>
      <c r="E175" s="147"/>
      <c r="F175" s="149"/>
      <c r="G175" s="149"/>
      <c r="H175" s="149"/>
      <c r="I175" s="149"/>
      <c r="J175" s="161"/>
      <c r="K175" s="176"/>
      <c r="L175" s="176"/>
      <c r="M175" s="176"/>
      <c r="N175" s="147"/>
      <c r="O175" s="147"/>
      <c r="P175" s="147"/>
      <c r="Q175" s="147"/>
      <c r="R175" s="147"/>
      <c r="S175" s="147"/>
      <c r="T175" s="147"/>
      <c r="U175" s="170"/>
      <c r="V175" s="163"/>
      <c r="W175" s="170"/>
      <c r="X175" s="150"/>
      <c r="Y175" s="147"/>
      <c r="Z175" s="147"/>
      <c r="AA175" s="147"/>
      <c r="AB175" s="147"/>
      <c r="AC175" s="147"/>
      <c r="AD175" s="147"/>
    </row>
    <row r="176" spans="1:30" ht="10.7" customHeight="1">
      <c r="A176" s="165"/>
      <c r="B176" s="147"/>
      <c r="C176" s="178"/>
      <c r="D176" s="159"/>
      <c r="E176" s="147"/>
      <c r="F176" s="149"/>
      <c r="G176" s="149"/>
      <c r="H176" s="149"/>
      <c r="I176" s="149"/>
      <c r="J176" s="161"/>
      <c r="K176" s="176"/>
      <c r="L176" s="176"/>
      <c r="M176" s="176"/>
      <c r="N176" s="147"/>
      <c r="O176" s="147"/>
      <c r="P176" s="147"/>
      <c r="Q176" s="147"/>
      <c r="R176" s="147"/>
      <c r="S176" s="147"/>
      <c r="T176" s="147"/>
      <c r="U176" s="170"/>
      <c r="V176" s="163"/>
      <c r="W176" s="170"/>
      <c r="X176" s="150"/>
      <c r="Y176" s="147"/>
      <c r="Z176" s="147"/>
      <c r="AA176" s="147"/>
      <c r="AB176" s="147"/>
      <c r="AC176" s="147"/>
      <c r="AD176" s="147"/>
    </row>
    <row r="177" spans="1:30" ht="10.7" customHeight="1">
      <c r="A177" s="149"/>
      <c r="B177" s="150"/>
      <c r="C177" s="177"/>
      <c r="D177" s="159"/>
      <c r="E177" s="147"/>
      <c r="F177" s="149"/>
      <c r="G177" s="149"/>
      <c r="H177" s="149"/>
      <c r="I177" s="149"/>
      <c r="J177" s="161"/>
      <c r="K177" s="176"/>
      <c r="L177" s="176"/>
      <c r="M177" s="176"/>
      <c r="N177" s="147"/>
      <c r="O177" s="147"/>
      <c r="P177" s="147"/>
      <c r="Q177" s="147"/>
      <c r="R177" s="147"/>
      <c r="S177" s="147"/>
      <c r="T177" s="147"/>
      <c r="U177" s="170"/>
      <c r="V177" s="163"/>
      <c r="W177" s="170"/>
      <c r="X177" s="150"/>
      <c r="Y177" s="147"/>
      <c r="Z177" s="147"/>
      <c r="AA177" s="147"/>
      <c r="AB177" s="147"/>
      <c r="AC177" s="147"/>
      <c r="AD177" s="147"/>
    </row>
    <row r="178" spans="1:30" ht="10.7" customHeight="1">
      <c r="A178" s="156"/>
      <c r="B178" s="150"/>
      <c r="C178" s="165"/>
      <c r="D178" s="165"/>
      <c r="E178" s="147"/>
      <c r="F178" s="149"/>
      <c r="G178" s="149"/>
      <c r="H178" s="149"/>
      <c r="I178" s="149"/>
      <c r="J178" s="161"/>
      <c r="K178" s="176"/>
      <c r="L178" s="176"/>
      <c r="M178" s="176"/>
      <c r="N178" s="147"/>
      <c r="O178" s="147"/>
      <c r="P178" s="147"/>
      <c r="Q178" s="147"/>
      <c r="R178" s="147"/>
      <c r="S178" s="147"/>
      <c r="T178" s="147"/>
      <c r="U178" s="170"/>
      <c r="V178" s="163"/>
      <c r="W178" s="170"/>
      <c r="X178" s="150"/>
      <c r="Y178" s="147"/>
      <c r="Z178" s="147"/>
      <c r="AA178" s="147"/>
      <c r="AB178" s="147"/>
      <c r="AC178" s="147"/>
      <c r="AD178" s="147"/>
    </row>
    <row r="179" spans="1:30" ht="10.7" customHeight="1">
      <c r="A179" s="156"/>
      <c r="B179" s="150"/>
      <c r="C179" s="149"/>
      <c r="D179" s="149"/>
      <c r="E179" s="147"/>
      <c r="F179" s="175"/>
      <c r="G179" s="147"/>
      <c r="H179" s="147"/>
      <c r="I179" s="156"/>
      <c r="J179" s="161"/>
      <c r="K179" s="149"/>
      <c r="L179" s="147"/>
      <c r="M179" s="147"/>
      <c r="N179" s="147"/>
      <c r="O179" s="147"/>
      <c r="P179" s="147"/>
      <c r="Q179" s="147"/>
      <c r="R179" s="147"/>
      <c r="S179" s="147"/>
      <c r="T179" s="147"/>
      <c r="U179" s="170"/>
      <c r="V179" s="163"/>
      <c r="W179" s="170"/>
      <c r="X179" s="150"/>
      <c r="Y179" s="147"/>
      <c r="Z179" s="147"/>
      <c r="AA179" s="147"/>
      <c r="AB179" s="147"/>
      <c r="AC179" s="147"/>
      <c r="AD179" s="147"/>
    </row>
    <row r="180" spans="1:30" ht="10.7" customHeight="1">
      <c r="A180" s="156"/>
      <c r="B180" s="150"/>
      <c r="C180" s="149"/>
      <c r="D180" s="149"/>
      <c r="E180" s="147"/>
      <c r="F180" s="170"/>
      <c r="G180" s="147"/>
      <c r="H180" s="147"/>
      <c r="I180" s="156"/>
      <c r="J180" s="161"/>
      <c r="K180" s="147"/>
      <c r="L180" s="170"/>
      <c r="M180" s="147"/>
      <c r="N180" s="147"/>
      <c r="O180" s="147"/>
      <c r="P180" s="147"/>
      <c r="Q180" s="147"/>
      <c r="R180" s="147"/>
      <c r="S180" s="147"/>
      <c r="T180" s="147"/>
      <c r="U180" s="170"/>
      <c r="V180" s="163"/>
      <c r="W180" s="170"/>
      <c r="X180" s="150"/>
      <c r="Y180" s="147"/>
      <c r="Z180" s="147"/>
      <c r="AA180" s="147"/>
      <c r="AB180" s="147"/>
      <c r="AC180" s="147"/>
      <c r="AD180" s="147"/>
    </row>
    <row r="181" spans="1:30" ht="10.7" customHeight="1">
      <c r="A181" s="161"/>
      <c r="B181" s="150"/>
      <c r="C181" s="165"/>
      <c r="D181" s="165"/>
      <c r="E181" s="147"/>
      <c r="F181" s="174"/>
      <c r="G181" s="147"/>
      <c r="H181" s="147"/>
      <c r="I181" s="156"/>
      <c r="J181" s="161"/>
      <c r="K181" s="147"/>
      <c r="L181" s="174"/>
      <c r="M181" s="147"/>
      <c r="N181" s="147"/>
      <c r="O181" s="147"/>
      <c r="P181" s="147"/>
      <c r="Q181" s="147"/>
      <c r="R181" s="147"/>
      <c r="S181" s="147"/>
      <c r="T181" s="147"/>
      <c r="U181" s="170"/>
      <c r="V181" s="163"/>
      <c r="W181" s="170"/>
      <c r="X181" s="150"/>
      <c r="Y181" s="147"/>
      <c r="Z181" s="147"/>
      <c r="AA181" s="147"/>
      <c r="AB181" s="147"/>
      <c r="AC181" s="147"/>
      <c r="AD181" s="147"/>
    </row>
    <row r="182" spans="1:30" ht="10.7" customHeight="1">
      <c r="A182" s="161"/>
      <c r="B182" s="150"/>
      <c r="C182" s="149"/>
      <c r="D182" s="149"/>
      <c r="E182" s="147"/>
      <c r="F182" s="171"/>
      <c r="G182" s="150"/>
      <c r="H182" s="150"/>
      <c r="I182" s="161"/>
      <c r="J182" s="161"/>
      <c r="K182" s="147"/>
      <c r="L182" s="171"/>
      <c r="M182" s="150"/>
      <c r="N182" s="147"/>
      <c r="O182" s="147"/>
      <c r="P182" s="147"/>
      <c r="Q182" s="147"/>
      <c r="R182" s="147"/>
      <c r="S182" s="147"/>
      <c r="T182" s="147"/>
      <c r="U182" s="147"/>
      <c r="V182" s="147"/>
      <c r="W182" s="150"/>
      <c r="X182" s="150"/>
      <c r="Y182" s="147"/>
      <c r="Z182" s="147"/>
      <c r="AA182" s="147"/>
      <c r="AB182" s="147"/>
      <c r="AC182" s="147"/>
      <c r="AD182" s="147"/>
    </row>
    <row r="183" spans="1:30" ht="10.7" customHeight="1">
      <c r="A183" s="161"/>
      <c r="B183" s="150"/>
      <c r="C183" s="165"/>
      <c r="D183" s="165"/>
      <c r="E183" s="147"/>
      <c r="F183" s="170"/>
      <c r="G183" s="147"/>
      <c r="H183" s="147"/>
      <c r="I183" s="161"/>
      <c r="J183" s="161"/>
      <c r="K183" s="147"/>
      <c r="L183" s="170"/>
      <c r="M183" s="147"/>
      <c r="N183" s="147"/>
      <c r="O183" s="147"/>
      <c r="P183" s="147"/>
      <c r="Q183" s="147"/>
      <c r="R183" s="147"/>
      <c r="S183" s="147"/>
      <c r="T183" s="147"/>
      <c r="U183" s="170"/>
      <c r="V183" s="170"/>
      <c r="W183" s="147"/>
      <c r="X183" s="147"/>
      <c r="Y183" s="147"/>
      <c r="Z183" s="147"/>
      <c r="AA183" s="147"/>
      <c r="AB183" s="147"/>
      <c r="AC183" s="147"/>
      <c r="AD183" s="147"/>
    </row>
    <row r="184" spans="1:30" ht="10.7" customHeight="1">
      <c r="A184" s="156"/>
      <c r="B184" s="150"/>
      <c r="C184" s="165"/>
      <c r="D184" s="165"/>
      <c r="E184" s="147"/>
      <c r="F184" s="171"/>
      <c r="G184" s="150"/>
      <c r="H184" s="150"/>
      <c r="I184" s="161"/>
      <c r="J184" s="161"/>
      <c r="K184" s="147"/>
      <c r="L184" s="171"/>
      <c r="M184" s="150"/>
      <c r="N184" s="147"/>
      <c r="O184" s="147"/>
      <c r="P184" s="147"/>
      <c r="Q184" s="147"/>
      <c r="R184" s="147"/>
      <c r="S184" s="147"/>
      <c r="T184" s="147"/>
      <c r="U184" s="147"/>
      <c r="V184" s="147"/>
      <c r="W184" s="147"/>
      <c r="X184" s="147"/>
      <c r="Y184" s="147"/>
      <c r="Z184" s="147"/>
      <c r="AA184" s="147"/>
      <c r="AB184" s="147"/>
      <c r="AC184" s="147"/>
      <c r="AD184" s="147"/>
    </row>
    <row r="185" spans="1:30" ht="10.7" customHeight="1">
      <c r="A185" s="156"/>
      <c r="B185" s="150"/>
      <c r="C185" s="149"/>
      <c r="D185" s="149"/>
      <c r="E185" s="147"/>
      <c r="F185" s="147"/>
      <c r="G185" s="147"/>
      <c r="H185" s="147"/>
      <c r="I185" s="156"/>
      <c r="J185" s="161"/>
      <c r="K185" s="147"/>
      <c r="L185" s="147"/>
      <c r="M185" s="147"/>
      <c r="N185" s="147"/>
      <c r="O185" s="147"/>
      <c r="P185" s="147"/>
      <c r="Q185" s="147"/>
      <c r="R185" s="147"/>
      <c r="S185" s="147"/>
      <c r="T185" s="147"/>
      <c r="U185" s="147"/>
      <c r="V185" s="147"/>
      <c r="W185" s="147"/>
      <c r="X185" s="147"/>
      <c r="Y185" s="147"/>
      <c r="Z185" s="147"/>
      <c r="AA185" s="147"/>
      <c r="AB185" s="147"/>
      <c r="AC185" s="147"/>
      <c r="AD185" s="147"/>
    </row>
    <row r="186" spans="1:30" ht="10.7" customHeight="1">
      <c r="A186" s="156"/>
      <c r="B186" s="150"/>
      <c r="C186" s="149"/>
      <c r="D186" s="149"/>
      <c r="E186" s="147"/>
      <c r="F186" s="170"/>
      <c r="G186" s="147"/>
      <c r="H186" s="147"/>
      <c r="I186" s="156"/>
      <c r="J186" s="161"/>
      <c r="K186" s="147"/>
      <c r="L186" s="170"/>
      <c r="M186" s="147"/>
      <c r="N186" s="147"/>
      <c r="O186" s="147"/>
      <c r="P186" s="147"/>
      <c r="Q186" s="147"/>
      <c r="R186" s="147"/>
      <c r="S186" s="147"/>
      <c r="T186" s="147"/>
      <c r="U186" s="147"/>
      <c r="V186" s="147"/>
      <c r="W186" s="147"/>
      <c r="X186" s="147"/>
      <c r="Y186" s="147"/>
      <c r="Z186" s="147"/>
      <c r="AA186" s="147"/>
      <c r="AB186" s="147"/>
      <c r="AC186" s="147"/>
      <c r="AD186" s="147"/>
    </row>
    <row r="187" spans="1:30" ht="10.7" customHeight="1">
      <c r="A187" s="156"/>
      <c r="B187" s="150"/>
      <c r="C187" s="149"/>
      <c r="D187" s="149"/>
      <c r="E187" s="160"/>
      <c r="F187" s="174"/>
      <c r="G187" s="147"/>
      <c r="H187" s="147"/>
      <c r="I187" s="156"/>
      <c r="J187" s="161"/>
      <c r="K187" s="147"/>
      <c r="L187" s="173"/>
      <c r="M187" s="147"/>
      <c r="N187" s="147"/>
      <c r="O187" s="147"/>
      <c r="P187" s="147"/>
      <c r="Q187" s="147"/>
      <c r="R187" s="147"/>
      <c r="S187" s="147"/>
      <c r="T187" s="147"/>
      <c r="U187" s="147"/>
      <c r="V187" s="147"/>
      <c r="W187" s="147"/>
      <c r="X187" s="147"/>
      <c r="Y187" s="147"/>
      <c r="Z187" s="147"/>
      <c r="AA187" s="147"/>
      <c r="AB187" s="147"/>
      <c r="AC187" s="147"/>
      <c r="AD187" s="147"/>
    </row>
    <row r="188" spans="1:30" ht="10.7" customHeight="1">
      <c r="A188" s="156"/>
      <c r="B188" s="150"/>
      <c r="C188" s="149"/>
      <c r="D188" s="149"/>
      <c r="E188" s="160"/>
      <c r="F188" s="171"/>
      <c r="G188" s="147"/>
      <c r="H188" s="147"/>
      <c r="I188" s="156"/>
      <c r="J188" s="161"/>
      <c r="K188" s="147"/>
      <c r="L188" s="171"/>
      <c r="M188" s="147"/>
      <c r="N188" s="147"/>
      <c r="O188" s="147"/>
      <c r="P188" s="147"/>
      <c r="Q188" s="147"/>
      <c r="R188" s="147"/>
      <c r="S188" s="147"/>
      <c r="T188" s="147"/>
      <c r="U188" s="147"/>
      <c r="V188" s="147"/>
      <c r="W188" s="147"/>
      <c r="X188" s="147"/>
      <c r="Y188" s="147"/>
      <c r="Z188" s="147"/>
      <c r="AA188" s="147"/>
      <c r="AB188" s="147"/>
      <c r="AC188" s="147"/>
      <c r="AD188" s="147"/>
    </row>
    <row r="189" spans="1:30" ht="10.7" customHeight="1">
      <c r="A189" s="156"/>
      <c r="B189" s="150"/>
      <c r="C189" s="165"/>
      <c r="D189" s="165"/>
      <c r="E189" s="172"/>
      <c r="F189" s="170"/>
      <c r="G189" s="147"/>
      <c r="H189" s="147"/>
      <c r="I189" s="156"/>
      <c r="J189" s="161"/>
      <c r="K189" s="147"/>
      <c r="L189" s="170"/>
      <c r="M189" s="147"/>
      <c r="N189" s="147"/>
      <c r="O189" s="147"/>
      <c r="P189" s="147"/>
      <c r="Q189" s="147"/>
      <c r="R189" s="147"/>
      <c r="S189" s="147"/>
      <c r="T189" s="147"/>
      <c r="U189" s="147"/>
      <c r="V189" s="147"/>
      <c r="W189" s="147"/>
      <c r="X189" s="147"/>
      <c r="Y189" s="147"/>
      <c r="Z189" s="147"/>
      <c r="AA189" s="147"/>
      <c r="AB189" s="147"/>
      <c r="AC189" s="147"/>
      <c r="AD189" s="147"/>
    </row>
    <row r="190" spans="1:30" ht="10.7" customHeight="1">
      <c r="A190" s="161"/>
      <c r="B190" s="150"/>
      <c r="C190" s="165"/>
      <c r="D190" s="165"/>
      <c r="E190" s="147"/>
      <c r="F190" s="171"/>
      <c r="G190" s="150"/>
      <c r="H190" s="150"/>
      <c r="I190" s="156"/>
      <c r="J190" s="161"/>
      <c r="K190" s="147"/>
      <c r="L190" s="171"/>
      <c r="M190" s="150"/>
      <c r="N190" s="147"/>
      <c r="O190" s="147"/>
      <c r="P190" s="147"/>
      <c r="Q190" s="147"/>
      <c r="R190" s="147"/>
      <c r="S190" s="147"/>
      <c r="T190" s="147"/>
      <c r="U190" s="147"/>
      <c r="V190" s="147"/>
      <c r="W190" s="147"/>
      <c r="X190" s="147"/>
      <c r="Y190" s="147"/>
      <c r="Z190" s="147"/>
      <c r="AA190" s="147"/>
      <c r="AB190" s="147"/>
      <c r="AC190" s="147"/>
      <c r="AD190" s="147"/>
    </row>
    <row r="191" spans="1:30" ht="10.7" customHeight="1">
      <c r="A191" s="161"/>
      <c r="B191" s="150"/>
      <c r="C191" s="165"/>
      <c r="D191" s="165"/>
      <c r="E191" s="147"/>
      <c r="F191" s="171"/>
      <c r="G191" s="150"/>
      <c r="H191" s="150"/>
      <c r="I191" s="161"/>
      <c r="J191" s="161"/>
      <c r="K191" s="147"/>
      <c r="L191" s="171"/>
      <c r="M191" s="150"/>
      <c r="N191" s="147"/>
      <c r="O191" s="147"/>
      <c r="P191" s="147"/>
      <c r="Q191" s="147"/>
      <c r="R191" s="147"/>
      <c r="S191" s="147"/>
      <c r="T191" s="147"/>
      <c r="U191" s="147"/>
      <c r="V191" s="147"/>
      <c r="W191" s="147"/>
      <c r="X191" s="147"/>
      <c r="Y191" s="147"/>
      <c r="Z191" s="147"/>
      <c r="AA191" s="147"/>
      <c r="AB191" s="147"/>
      <c r="AC191" s="147"/>
      <c r="AD191" s="147"/>
    </row>
    <row r="192" spans="1:30" ht="10.7" customHeight="1">
      <c r="A192" s="161"/>
      <c r="B192" s="150"/>
      <c r="C192" s="165"/>
      <c r="D192" s="165"/>
      <c r="E192" s="147"/>
      <c r="F192" s="171"/>
      <c r="G192" s="150"/>
      <c r="H192" s="150"/>
      <c r="I192" s="161"/>
      <c r="J192" s="161"/>
      <c r="K192" s="147"/>
      <c r="L192" s="171"/>
      <c r="M192" s="150"/>
      <c r="N192" s="147"/>
      <c r="O192" s="147"/>
      <c r="P192" s="147"/>
      <c r="Q192" s="147"/>
      <c r="R192" s="147"/>
      <c r="S192" s="147"/>
      <c r="T192" s="147"/>
      <c r="U192" s="147"/>
      <c r="V192" s="147"/>
      <c r="W192" s="147"/>
      <c r="X192" s="147"/>
      <c r="Y192" s="147"/>
      <c r="Z192" s="147"/>
      <c r="AA192" s="147"/>
      <c r="AB192" s="147"/>
      <c r="AC192" s="147"/>
      <c r="AD192" s="147"/>
    </row>
    <row r="193" spans="1:30" ht="10.7" customHeight="1">
      <c r="A193" s="156"/>
      <c r="B193" s="150"/>
      <c r="C193" s="165"/>
      <c r="D193" s="165"/>
      <c r="E193" s="147"/>
      <c r="F193" s="171"/>
      <c r="G193" s="150"/>
      <c r="H193" s="150"/>
      <c r="I193" s="161"/>
      <c r="J193" s="161"/>
      <c r="K193" s="147"/>
      <c r="L193" s="171"/>
      <c r="M193" s="150"/>
      <c r="N193" s="147"/>
      <c r="O193" s="147"/>
      <c r="P193" s="147"/>
      <c r="Q193" s="147"/>
      <c r="R193" s="147"/>
      <c r="S193" s="147"/>
      <c r="T193" s="147"/>
      <c r="U193" s="147"/>
      <c r="V193" s="147"/>
      <c r="W193" s="147"/>
      <c r="X193" s="147"/>
      <c r="Y193" s="147"/>
      <c r="Z193" s="147"/>
      <c r="AA193" s="147"/>
      <c r="AB193" s="147"/>
      <c r="AC193" s="147"/>
      <c r="AD193" s="147"/>
    </row>
    <row r="194" spans="1:30" ht="10.7" customHeight="1">
      <c r="A194" s="156"/>
      <c r="B194" s="150"/>
      <c r="C194" s="149"/>
      <c r="D194" s="149"/>
      <c r="E194" s="147"/>
      <c r="F194" s="171"/>
      <c r="G194" s="150"/>
      <c r="H194" s="150"/>
      <c r="I194" s="156"/>
      <c r="J194" s="156"/>
      <c r="K194" s="147"/>
      <c r="L194" s="171"/>
      <c r="M194" s="150"/>
      <c r="N194" s="147"/>
      <c r="O194" s="147"/>
      <c r="P194" s="147"/>
      <c r="Q194" s="147"/>
      <c r="R194" s="147"/>
      <c r="S194" s="147"/>
      <c r="T194" s="147"/>
      <c r="U194" s="147"/>
      <c r="V194" s="147"/>
      <c r="W194" s="147"/>
      <c r="X194" s="147"/>
      <c r="Y194" s="147"/>
      <c r="Z194" s="147"/>
      <c r="AA194" s="147"/>
      <c r="AB194" s="147"/>
      <c r="AC194" s="147"/>
      <c r="AD194" s="147"/>
    </row>
    <row r="195" spans="1:30" ht="10.7" customHeight="1">
      <c r="A195" s="156"/>
      <c r="B195" s="165"/>
      <c r="C195" s="165"/>
      <c r="D195" s="165"/>
      <c r="E195" s="155"/>
      <c r="F195" s="147"/>
      <c r="G195" s="160"/>
      <c r="H195" s="160"/>
      <c r="I195" s="156"/>
      <c r="J195" s="156"/>
      <c r="K195" s="147"/>
      <c r="L195" s="147"/>
      <c r="M195" s="147"/>
      <c r="N195" s="147"/>
      <c r="O195" s="147"/>
      <c r="P195" s="147"/>
      <c r="Q195" s="147"/>
      <c r="R195" s="147"/>
      <c r="S195" s="147"/>
      <c r="T195" s="147"/>
      <c r="U195" s="147"/>
      <c r="V195" s="147"/>
      <c r="W195" s="147"/>
      <c r="X195" s="147"/>
      <c r="Y195" s="147"/>
      <c r="Z195" s="147"/>
      <c r="AA195" s="147"/>
      <c r="AB195" s="147"/>
      <c r="AC195" s="147"/>
      <c r="AD195" s="147"/>
    </row>
    <row r="196" spans="1:30" ht="10.7" customHeight="1">
      <c r="A196" s="156"/>
      <c r="B196" s="150"/>
      <c r="C196" s="149"/>
      <c r="D196" s="149"/>
      <c r="E196" s="155"/>
      <c r="F196" s="170"/>
      <c r="G196" s="147"/>
      <c r="H196" s="147"/>
      <c r="I196" s="156"/>
      <c r="J196" s="156"/>
      <c r="K196" s="147"/>
      <c r="L196" s="147"/>
      <c r="M196" s="147"/>
      <c r="N196" s="147"/>
      <c r="O196" s="147"/>
      <c r="P196" s="147"/>
      <c r="Q196" s="147"/>
      <c r="R196" s="147"/>
      <c r="S196" s="147"/>
      <c r="T196" s="147"/>
      <c r="U196" s="147"/>
      <c r="V196" s="147"/>
      <c r="W196" s="147"/>
      <c r="X196" s="147"/>
      <c r="Y196" s="147"/>
      <c r="Z196" s="147"/>
      <c r="AA196" s="147"/>
      <c r="AB196" s="147"/>
      <c r="AC196" s="147"/>
      <c r="AD196" s="147"/>
    </row>
    <row r="197" spans="1:30" ht="10.7" customHeight="1">
      <c r="A197" s="161"/>
      <c r="B197" s="150"/>
      <c r="C197" s="149"/>
      <c r="D197" s="149"/>
      <c r="E197" s="155"/>
      <c r="F197" s="170"/>
      <c r="G197" s="147"/>
      <c r="H197" s="147"/>
      <c r="I197" s="156"/>
      <c r="J197" s="156"/>
      <c r="K197" s="147"/>
      <c r="L197" s="147"/>
      <c r="M197" s="147"/>
      <c r="N197" s="147"/>
      <c r="O197" s="147"/>
      <c r="P197" s="147"/>
      <c r="Q197" s="147"/>
      <c r="R197" s="147"/>
      <c r="S197" s="147"/>
      <c r="T197" s="147"/>
      <c r="U197" s="147"/>
      <c r="V197" s="147"/>
      <c r="W197" s="147"/>
      <c r="X197" s="147"/>
      <c r="Y197" s="147"/>
      <c r="Z197" s="147"/>
      <c r="AA197" s="147"/>
      <c r="AB197" s="147"/>
      <c r="AC197" s="147"/>
      <c r="AD197" s="147"/>
    </row>
    <row r="198" spans="1:30" ht="10.7" customHeight="1">
      <c r="A198" s="156"/>
      <c r="B198" s="150"/>
      <c r="C198" s="149"/>
      <c r="D198" s="149"/>
      <c r="E198" s="155"/>
      <c r="F198" s="170"/>
      <c r="G198" s="147"/>
      <c r="H198" s="147"/>
      <c r="I198" s="161"/>
      <c r="J198" s="161"/>
      <c r="K198" s="147"/>
      <c r="L198" s="147"/>
      <c r="M198" s="147"/>
      <c r="N198" s="147"/>
      <c r="O198" s="147"/>
      <c r="P198" s="147"/>
      <c r="Q198" s="147"/>
      <c r="R198" s="147"/>
      <c r="S198" s="147"/>
      <c r="T198" s="147"/>
      <c r="U198" s="147"/>
      <c r="V198" s="147"/>
      <c r="W198" s="147"/>
      <c r="X198" s="147"/>
      <c r="Y198" s="147"/>
      <c r="Z198" s="147"/>
      <c r="AA198" s="147"/>
      <c r="AB198" s="147"/>
      <c r="AC198" s="147"/>
      <c r="AD198" s="147"/>
    </row>
    <row r="199" spans="1:30" ht="12" customHeight="1">
      <c r="A199" s="161"/>
      <c r="B199" s="150"/>
      <c r="C199" s="149"/>
      <c r="D199" s="149"/>
      <c r="E199" s="155"/>
      <c r="F199" s="170"/>
      <c r="G199" s="147"/>
      <c r="H199" s="147"/>
      <c r="I199" s="156"/>
      <c r="J199" s="156"/>
      <c r="K199" s="147"/>
      <c r="L199" s="147"/>
      <c r="M199" s="147"/>
      <c r="N199" s="147"/>
      <c r="O199" s="147"/>
      <c r="P199" s="147"/>
      <c r="Q199" s="147"/>
      <c r="R199" s="147"/>
      <c r="S199" s="147"/>
      <c r="T199" s="147"/>
      <c r="U199" s="147"/>
      <c r="V199" s="147"/>
      <c r="W199" s="147"/>
      <c r="X199" s="147"/>
      <c r="Y199" s="147"/>
      <c r="Z199" s="147"/>
      <c r="AA199" s="147"/>
      <c r="AB199" s="147"/>
      <c r="AC199" s="147"/>
      <c r="AD199" s="147"/>
    </row>
    <row r="200" spans="1:30" ht="10.7" customHeight="1">
      <c r="A200" s="161"/>
      <c r="B200" s="150"/>
      <c r="C200" s="149"/>
      <c r="D200" s="149"/>
      <c r="E200" s="155"/>
      <c r="F200" s="170"/>
      <c r="G200" s="147"/>
      <c r="H200" s="147"/>
      <c r="I200" s="161"/>
      <c r="J200" s="161"/>
      <c r="K200" s="147"/>
      <c r="L200" s="147"/>
      <c r="M200" s="147"/>
      <c r="N200" s="147"/>
      <c r="O200" s="147"/>
      <c r="P200" s="147"/>
      <c r="Q200" s="147"/>
      <c r="R200" s="147"/>
      <c r="S200" s="147"/>
      <c r="T200" s="147"/>
      <c r="U200" s="147"/>
      <c r="V200" s="147"/>
      <c r="W200" s="147"/>
      <c r="X200" s="147"/>
      <c r="Y200" s="147"/>
      <c r="Z200" s="147"/>
      <c r="AA200" s="147"/>
      <c r="AB200" s="147"/>
      <c r="AC200" s="147"/>
      <c r="AD200" s="147"/>
    </row>
    <row r="201" spans="1:30" ht="10.7" customHeight="1">
      <c r="A201" s="161"/>
      <c r="B201" s="150"/>
      <c r="C201" s="149"/>
      <c r="D201" s="149"/>
      <c r="E201" s="155"/>
      <c r="F201" s="170"/>
      <c r="G201" s="147"/>
      <c r="H201" s="147"/>
      <c r="I201" s="161"/>
      <c r="J201" s="161"/>
      <c r="K201" s="147"/>
      <c r="L201" s="147"/>
      <c r="M201" s="147"/>
      <c r="N201" s="147"/>
      <c r="O201" s="147"/>
      <c r="P201" s="147"/>
      <c r="Q201" s="147"/>
      <c r="R201" s="147"/>
      <c r="S201" s="147"/>
      <c r="T201" s="147"/>
      <c r="U201" s="147"/>
      <c r="V201" s="147"/>
      <c r="W201" s="147"/>
      <c r="X201" s="147"/>
      <c r="Y201" s="147"/>
      <c r="Z201" s="147"/>
      <c r="AA201" s="147"/>
      <c r="AB201" s="147"/>
      <c r="AC201" s="147"/>
      <c r="AD201" s="147"/>
    </row>
    <row r="202" spans="1:30" ht="10.7" customHeight="1">
      <c r="A202" s="161"/>
      <c r="B202" s="150"/>
      <c r="C202" s="149"/>
      <c r="D202" s="149"/>
      <c r="E202" s="155"/>
      <c r="F202" s="169"/>
      <c r="G202" s="147"/>
      <c r="H202" s="147"/>
      <c r="I202" s="161"/>
      <c r="J202" s="161"/>
      <c r="K202" s="147"/>
      <c r="L202" s="147"/>
      <c r="M202" s="147"/>
      <c r="N202" s="147"/>
      <c r="O202" s="147"/>
      <c r="P202" s="147"/>
      <c r="Q202" s="147"/>
      <c r="R202" s="147"/>
      <c r="S202" s="147"/>
      <c r="T202" s="147"/>
      <c r="U202" s="147"/>
      <c r="V202" s="147"/>
      <c r="W202" s="147"/>
      <c r="X202" s="147"/>
      <c r="Y202" s="147"/>
      <c r="Z202" s="147"/>
      <c r="AA202" s="147"/>
      <c r="AB202" s="147"/>
      <c r="AC202" s="147"/>
      <c r="AD202" s="147"/>
    </row>
    <row r="203" spans="1:30" ht="10.7" customHeight="1">
      <c r="A203" s="156"/>
      <c r="B203" s="150"/>
      <c r="C203" s="149"/>
      <c r="D203" s="149"/>
      <c r="E203" s="147"/>
      <c r="F203" s="169"/>
      <c r="G203" s="147"/>
      <c r="H203" s="147"/>
      <c r="I203" s="161"/>
      <c r="J203" s="161"/>
      <c r="K203" s="147"/>
      <c r="L203" s="147"/>
      <c r="M203" s="147"/>
      <c r="N203" s="147"/>
      <c r="O203" s="147"/>
      <c r="P203" s="147"/>
      <c r="Q203" s="147"/>
      <c r="R203" s="147"/>
      <c r="S203" s="147"/>
      <c r="T203" s="147"/>
      <c r="U203" s="147"/>
      <c r="V203" s="147"/>
      <c r="W203" s="147"/>
      <c r="X203" s="147"/>
      <c r="Y203" s="147"/>
      <c r="Z203" s="147"/>
      <c r="AA203" s="147"/>
      <c r="AB203" s="147"/>
      <c r="AC203" s="147"/>
      <c r="AD203" s="147"/>
    </row>
    <row r="204" spans="1:30" ht="10.7" customHeight="1">
      <c r="A204" s="156"/>
      <c r="B204" s="150"/>
      <c r="C204" s="149"/>
      <c r="D204" s="149"/>
      <c r="E204" s="147"/>
      <c r="F204" s="157"/>
      <c r="G204" s="147"/>
      <c r="H204" s="147"/>
      <c r="I204" s="156"/>
      <c r="J204" s="156"/>
      <c r="K204" s="147"/>
      <c r="L204" s="147"/>
      <c r="M204" s="147"/>
      <c r="N204" s="147"/>
      <c r="O204" s="147"/>
      <c r="P204" s="147"/>
      <c r="Q204" s="147"/>
      <c r="R204" s="147"/>
      <c r="S204" s="147"/>
      <c r="T204" s="147"/>
      <c r="U204" s="147"/>
      <c r="V204" s="147"/>
      <c r="W204" s="147"/>
      <c r="X204" s="147"/>
      <c r="Y204" s="147"/>
      <c r="Z204" s="147"/>
      <c r="AA204" s="147"/>
      <c r="AB204" s="147"/>
      <c r="AC204" s="147"/>
      <c r="AD204" s="147"/>
    </row>
    <row r="205" spans="1:30" ht="10.7" customHeight="1">
      <c r="A205" s="156"/>
      <c r="B205" s="150"/>
      <c r="C205" s="149"/>
      <c r="D205" s="149"/>
      <c r="E205" s="147"/>
      <c r="F205" s="157"/>
      <c r="G205" s="147"/>
      <c r="H205" s="147"/>
      <c r="I205" s="156"/>
      <c r="J205" s="156"/>
      <c r="K205" s="147"/>
      <c r="L205" s="147"/>
      <c r="M205" s="147"/>
      <c r="N205" s="147"/>
      <c r="O205" s="147"/>
      <c r="P205" s="147"/>
      <c r="Q205" s="147"/>
      <c r="R205" s="147"/>
      <c r="S205" s="147"/>
      <c r="T205" s="147"/>
      <c r="U205" s="147"/>
      <c r="V205" s="147"/>
      <c r="W205" s="147"/>
      <c r="X205" s="147"/>
      <c r="Y205" s="147"/>
      <c r="Z205" s="147"/>
      <c r="AA205" s="147"/>
      <c r="AB205" s="147"/>
      <c r="AC205" s="147"/>
      <c r="AD205" s="147"/>
    </row>
    <row r="206" spans="1:30" ht="10.7" customHeight="1">
      <c r="A206" s="161"/>
      <c r="B206" s="150"/>
      <c r="C206" s="149"/>
      <c r="D206" s="149"/>
      <c r="E206" s="147"/>
      <c r="F206" s="168"/>
      <c r="G206" s="147"/>
      <c r="H206" s="147"/>
      <c r="I206" s="156"/>
      <c r="J206" s="156"/>
      <c r="K206" s="147"/>
      <c r="L206" s="147"/>
      <c r="M206" s="147"/>
      <c r="N206" s="147"/>
      <c r="O206" s="147"/>
      <c r="P206" s="147"/>
      <c r="Q206" s="147"/>
      <c r="R206" s="147"/>
      <c r="S206" s="147"/>
      <c r="T206" s="147"/>
      <c r="U206" s="147"/>
      <c r="V206" s="147"/>
      <c r="W206" s="147"/>
      <c r="X206" s="147"/>
      <c r="Y206" s="147"/>
      <c r="Z206" s="147"/>
      <c r="AA206" s="147"/>
      <c r="AB206" s="147"/>
      <c r="AC206" s="147"/>
      <c r="AD206" s="147"/>
    </row>
    <row r="207" spans="1:30" ht="10.7" customHeight="1">
      <c r="A207" s="156"/>
      <c r="B207" s="150"/>
      <c r="C207" s="149"/>
      <c r="D207" s="149"/>
      <c r="E207" s="147"/>
      <c r="F207" s="168"/>
      <c r="G207" s="147"/>
      <c r="H207" s="147"/>
      <c r="I207" s="161"/>
      <c r="J207" s="161"/>
      <c r="K207" s="147"/>
      <c r="L207" s="147"/>
      <c r="M207" s="147"/>
      <c r="N207" s="147"/>
      <c r="O207" s="147"/>
      <c r="P207" s="147"/>
      <c r="Q207" s="147"/>
      <c r="R207" s="147"/>
      <c r="S207" s="147"/>
      <c r="T207" s="147"/>
      <c r="U207" s="147"/>
      <c r="V207" s="147"/>
      <c r="W207" s="147"/>
      <c r="X207" s="147"/>
      <c r="Y207" s="147"/>
      <c r="Z207" s="147"/>
      <c r="AA207" s="147"/>
      <c r="AB207" s="147"/>
      <c r="AC207" s="147"/>
      <c r="AD207" s="147"/>
    </row>
    <row r="208" spans="1:30" ht="10.7" customHeight="1">
      <c r="A208" s="161"/>
      <c r="B208" s="150"/>
      <c r="C208" s="149"/>
      <c r="D208" s="149"/>
      <c r="E208" s="147"/>
      <c r="F208" s="147"/>
      <c r="G208" s="147"/>
      <c r="H208" s="147"/>
      <c r="I208" s="156"/>
      <c r="J208" s="156"/>
      <c r="K208" s="147"/>
      <c r="L208" s="147"/>
      <c r="M208" s="147"/>
      <c r="N208" s="147"/>
      <c r="O208" s="147"/>
      <c r="P208" s="147"/>
      <c r="Q208" s="147"/>
      <c r="R208" s="147"/>
      <c r="S208" s="147"/>
      <c r="T208" s="147"/>
      <c r="U208" s="147"/>
      <c r="V208" s="147"/>
      <c r="W208" s="147"/>
      <c r="X208" s="147"/>
      <c r="Y208" s="147"/>
      <c r="Z208" s="147"/>
      <c r="AA208" s="147"/>
      <c r="AB208" s="147"/>
      <c r="AC208" s="147"/>
      <c r="AD208" s="147"/>
    </row>
    <row r="209" spans="1:30" ht="10.7" customHeight="1">
      <c r="A209" s="156"/>
      <c r="B209" s="150"/>
      <c r="C209" s="149"/>
      <c r="D209" s="149"/>
      <c r="E209" s="147"/>
      <c r="F209" s="147"/>
      <c r="G209" s="147"/>
      <c r="H209" s="147"/>
      <c r="I209" s="161"/>
      <c r="J209" s="161"/>
      <c r="K209" s="147"/>
      <c r="L209" s="147"/>
      <c r="M209" s="147"/>
      <c r="N209" s="147"/>
      <c r="O209" s="147"/>
      <c r="P209" s="147"/>
      <c r="Q209" s="147"/>
      <c r="R209" s="147"/>
      <c r="S209" s="147"/>
      <c r="T209" s="147"/>
      <c r="U209" s="147"/>
      <c r="V209" s="147"/>
      <c r="W209" s="147"/>
      <c r="X209" s="147"/>
      <c r="Y209" s="147"/>
      <c r="Z209" s="147"/>
      <c r="AA209" s="147"/>
      <c r="AB209" s="147"/>
      <c r="AC209" s="147"/>
      <c r="AD209" s="147"/>
    </row>
    <row r="210" spans="1:30" ht="10.7" customHeight="1">
      <c r="A210" s="161"/>
      <c r="B210" s="150"/>
      <c r="C210" s="149"/>
      <c r="D210" s="149"/>
      <c r="E210" s="147"/>
      <c r="F210" s="147"/>
      <c r="G210" s="147"/>
      <c r="H210" s="147"/>
      <c r="I210" s="156"/>
      <c r="J210" s="156"/>
      <c r="K210" s="147"/>
      <c r="L210" s="147"/>
      <c r="M210" s="147"/>
      <c r="N210" s="147"/>
      <c r="O210" s="147"/>
      <c r="P210" s="147"/>
      <c r="Q210" s="147"/>
      <c r="R210" s="147"/>
      <c r="S210" s="147"/>
      <c r="T210" s="147"/>
      <c r="U210" s="147"/>
      <c r="V210" s="147"/>
      <c r="W210" s="147"/>
      <c r="X210" s="147"/>
      <c r="Y210" s="147"/>
      <c r="Z210" s="147"/>
      <c r="AA210" s="147"/>
      <c r="AB210" s="147"/>
      <c r="AC210" s="147"/>
      <c r="AD210" s="147"/>
    </row>
    <row r="211" spans="1:30" ht="10.7" customHeight="1">
      <c r="A211" s="156"/>
      <c r="B211" s="150"/>
      <c r="C211" s="149"/>
      <c r="D211" s="149"/>
      <c r="E211" s="147"/>
      <c r="F211" s="147"/>
      <c r="G211" s="147"/>
      <c r="H211" s="147"/>
      <c r="I211" s="161"/>
      <c r="J211" s="161"/>
      <c r="K211" s="147"/>
      <c r="L211" s="147"/>
      <c r="M211" s="147"/>
      <c r="N211" s="147"/>
      <c r="O211" s="147"/>
      <c r="P211" s="147"/>
      <c r="Q211" s="147"/>
      <c r="R211" s="147"/>
      <c r="S211" s="147"/>
      <c r="T211" s="147"/>
      <c r="U211" s="147"/>
      <c r="V211" s="147"/>
      <c r="W211" s="147"/>
      <c r="X211" s="147"/>
      <c r="Y211" s="147"/>
      <c r="Z211" s="147"/>
      <c r="AA211" s="147"/>
      <c r="AB211" s="147"/>
      <c r="AC211" s="147"/>
      <c r="AD211" s="147"/>
    </row>
    <row r="212" spans="1:30" ht="10.7" customHeight="1">
      <c r="A212" s="161"/>
      <c r="B212" s="150"/>
      <c r="C212" s="149"/>
      <c r="D212" s="149"/>
      <c r="E212" s="147"/>
      <c r="F212" s="147"/>
      <c r="G212" s="147"/>
      <c r="H212" s="147"/>
      <c r="I212" s="156"/>
      <c r="J212" s="156"/>
      <c r="K212" s="147"/>
      <c r="L212" s="147"/>
      <c r="M212" s="147"/>
      <c r="N212" s="147"/>
      <c r="O212" s="147"/>
      <c r="P212" s="147"/>
      <c r="Q212" s="147"/>
      <c r="R212" s="147"/>
      <c r="S212" s="147"/>
      <c r="T212" s="147"/>
      <c r="U212" s="147"/>
      <c r="V212" s="147"/>
      <c r="W212" s="147"/>
      <c r="X212" s="147"/>
      <c r="Y212" s="147"/>
      <c r="Z212" s="147"/>
      <c r="AA212" s="147"/>
      <c r="AB212" s="147"/>
      <c r="AC212" s="147"/>
      <c r="AD212" s="147"/>
    </row>
    <row r="213" spans="1:30" ht="10.7" customHeight="1">
      <c r="A213" s="156"/>
      <c r="B213" s="150"/>
      <c r="C213" s="149"/>
      <c r="D213" s="149"/>
      <c r="E213" s="147"/>
      <c r="F213" s="160"/>
      <c r="G213" s="147"/>
      <c r="H213" s="147"/>
      <c r="I213" s="161"/>
      <c r="J213" s="161"/>
      <c r="K213" s="147"/>
      <c r="L213" s="147"/>
      <c r="M213" s="147"/>
      <c r="N213" s="147"/>
      <c r="O213" s="147"/>
      <c r="P213" s="147"/>
      <c r="Q213" s="147"/>
      <c r="R213" s="147"/>
      <c r="S213" s="147"/>
      <c r="T213" s="147"/>
      <c r="U213" s="147"/>
      <c r="V213" s="147"/>
      <c r="W213" s="147"/>
      <c r="X213" s="147"/>
      <c r="Y213" s="147"/>
      <c r="Z213" s="147"/>
      <c r="AA213" s="147"/>
      <c r="AB213" s="147"/>
      <c r="AC213" s="147"/>
      <c r="AD213" s="147"/>
    </row>
    <row r="214" spans="1:30" ht="10.7" customHeight="1">
      <c r="A214" s="161"/>
      <c r="B214" s="150"/>
      <c r="C214" s="149"/>
      <c r="D214" s="149"/>
      <c r="E214" s="147"/>
      <c r="F214" s="160"/>
      <c r="G214" s="147"/>
      <c r="H214" s="147"/>
      <c r="I214" s="156"/>
      <c r="J214" s="156"/>
      <c r="K214" s="147"/>
      <c r="L214" s="147"/>
      <c r="M214" s="147"/>
      <c r="N214" s="147"/>
      <c r="O214" s="147"/>
      <c r="P214" s="147"/>
      <c r="Q214" s="147"/>
      <c r="R214" s="147"/>
      <c r="S214" s="147"/>
      <c r="T214" s="147"/>
      <c r="U214" s="147"/>
      <c r="V214" s="147"/>
      <c r="W214" s="147"/>
      <c r="X214" s="147"/>
      <c r="Y214" s="147"/>
      <c r="Z214" s="147"/>
      <c r="AA214" s="147"/>
      <c r="AB214" s="147"/>
      <c r="AC214" s="147"/>
      <c r="AD214" s="147"/>
    </row>
    <row r="215" spans="1:30" ht="10.7" customHeight="1">
      <c r="A215" s="161"/>
      <c r="B215" s="150"/>
      <c r="C215" s="149"/>
      <c r="D215" s="149"/>
      <c r="E215" s="147"/>
      <c r="F215" s="160"/>
      <c r="G215" s="147"/>
      <c r="H215" s="147"/>
      <c r="I215" s="161"/>
      <c r="J215" s="161"/>
      <c r="K215" s="147"/>
      <c r="L215" s="147"/>
      <c r="M215" s="147"/>
      <c r="N215" s="147"/>
      <c r="O215" s="147"/>
      <c r="P215" s="147"/>
      <c r="Q215" s="147"/>
      <c r="R215" s="147"/>
      <c r="S215" s="147"/>
      <c r="T215" s="147"/>
      <c r="U215" s="147"/>
      <c r="V215" s="147"/>
      <c r="W215" s="147"/>
      <c r="X215" s="147"/>
      <c r="Y215" s="147"/>
      <c r="Z215" s="147"/>
      <c r="AA215" s="147"/>
      <c r="AB215" s="147"/>
      <c r="AC215" s="147"/>
      <c r="AD215" s="147"/>
    </row>
    <row r="216" spans="1:30" ht="10.7" customHeight="1">
      <c r="A216" s="156"/>
      <c r="B216" s="165"/>
      <c r="C216" s="165"/>
      <c r="D216" s="165"/>
      <c r="E216" s="147"/>
      <c r="F216" s="160"/>
      <c r="G216" s="147"/>
      <c r="H216" s="147"/>
      <c r="I216" s="161"/>
      <c r="J216" s="161"/>
      <c r="K216" s="147"/>
      <c r="L216" s="147"/>
      <c r="M216" s="147"/>
      <c r="N216" s="147"/>
      <c r="O216" s="147"/>
      <c r="P216" s="147"/>
      <c r="Q216" s="147"/>
      <c r="R216" s="147"/>
      <c r="S216" s="147"/>
      <c r="T216" s="147"/>
      <c r="U216" s="147"/>
      <c r="V216" s="147"/>
      <c r="W216" s="147"/>
      <c r="X216" s="147"/>
      <c r="Y216" s="147"/>
      <c r="Z216" s="147"/>
      <c r="AA216" s="147"/>
      <c r="AB216" s="147"/>
      <c r="AC216" s="147"/>
      <c r="AD216" s="147"/>
    </row>
    <row r="217" spans="1:30" ht="10.7" customHeight="1">
      <c r="A217" s="156"/>
      <c r="B217" s="150"/>
      <c r="C217" s="149"/>
      <c r="D217" s="149"/>
      <c r="E217" s="147"/>
      <c r="F217" s="147"/>
      <c r="G217" s="147"/>
      <c r="H217" s="147"/>
      <c r="I217" s="156"/>
      <c r="J217" s="156"/>
      <c r="K217" s="147"/>
      <c r="L217" s="147"/>
      <c r="M217" s="147"/>
      <c r="N217" s="147"/>
      <c r="O217" s="147"/>
      <c r="P217" s="147"/>
      <c r="Q217" s="147"/>
      <c r="R217" s="147"/>
      <c r="S217" s="147"/>
      <c r="T217" s="147"/>
      <c r="U217" s="147"/>
      <c r="V217" s="147"/>
      <c r="W217" s="147"/>
      <c r="X217" s="147"/>
      <c r="Y217" s="147"/>
      <c r="Z217" s="147"/>
      <c r="AA217" s="147"/>
      <c r="AB217" s="147"/>
      <c r="AC217" s="147"/>
      <c r="AD217" s="147"/>
    </row>
    <row r="218" spans="1:30" ht="10.7" customHeight="1">
      <c r="A218" s="156"/>
      <c r="B218" s="150"/>
      <c r="C218" s="149"/>
      <c r="D218" s="149"/>
      <c r="E218" s="147"/>
      <c r="F218" s="157"/>
      <c r="G218" s="147"/>
      <c r="H218" s="147"/>
      <c r="I218" s="156"/>
      <c r="J218" s="156"/>
      <c r="K218" s="147"/>
      <c r="L218" s="147"/>
      <c r="M218" s="147"/>
      <c r="N218" s="147"/>
      <c r="O218" s="147"/>
      <c r="P218" s="147"/>
      <c r="Q218" s="147"/>
      <c r="R218" s="147"/>
      <c r="S218" s="147"/>
      <c r="T218" s="147"/>
      <c r="U218" s="147"/>
      <c r="V218" s="147"/>
      <c r="W218" s="147"/>
      <c r="X218" s="147"/>
      <c r="Y218" s="147"/>
      <c r="Z218" s="147"/>
      <c r="AA218" s="147"/>
      <c r="AB218" s="147"/>
      <c r="AC218" s="147"/>
      <c r="AD218" s="147"/>
    </row>
    <row r="219" spans="1:30" ht="10.7" customHeight="1">
      <c r="A219" s="161"/>
      <c r="B219" s="150"/>
      <c r="C219" s="149"/>
      <c r="D219" s="149"/>
      <c r="E219" s="147"/>
      <c r="F219" s="147"/>
      <c r="G219" s="147"/>
      <c r="H219" s="147"/>
      <c r="I219" s="156"/>
      <c r="J219" s="156"/>
      <c r="K219" s="147"/>
      <c r="L219" s="147"/>
      <c r="M219" s="147"/>
      <c r="N219" s="147"/>
      <c r="O219" s="147"/>
      <c r="P219" s="147"/>
      <c r="Q219" s="147"/>
      <c r="R219" s="147"/>
      <c r="S219" s="147"/>
      <c r="T219" s="147"/>
      <c r="U219" s="147"/>
      <c r="V219" s="147"/>
      <c r="W219" s="147"/>
      <c r="X219" s="147"/>
      <c r="Y219" s="147"/>
      <c r="Z219" s="147"/>
      <c r="AA219" s="147"/>
      <c r="AB219" s="147"/>
      <c r="AC219" s="147"/>
      <c r="AD219" s="147"/>
    </row>
    <row r="220" spans="1:30" ht="23.25" customHeight="1">
      <c r="A220" s="161"/>
      <c r="B220" s="150"/>
      <c r="C220" s="149"/>
      <c r="D220" s="149"/>
      <c r="E220" s="147"/>
      <c r="F220" s="147"/>
      <c r="G220" s="147"/>
      <c r="H220" s="147"/>
      <c r="I220" s="161"/>
      <c r="J220" s="161"/>
      <c r="K220" s="147"/>
      <c r="L220" s="147"/>
      <c r="M220" s="147"/>
      <c r="N220" s="147"/>
      <c r="O220" s="147"/>
      <c r="P220" s="147"/>
      <c r="Q220" s="147"/>
      <c r="R220" s="147"/>
      <c r="S220" s="147"/>
      <c r="T220" s="147"/>
      <c r="U220" s="147"/>
      <c r="V220" s="147"/>
      <c r="W220" s="147"/>
      <c r="X220" s="147"/>
      <c r="Y220" s="147"/>
      <c r="Z220" s="147"/>
      <c r="AA220" s="147"/>
      <c r="AB220" s="147"/>
      <c r="AC220" s="147"/>
      <c r="AD220" s="147"/>
    </row>
    <row r="221" spans="1:30" ht="10.7" customHeight="1">
      <c r="A221" s="161"/>
      <c r="B221" s="150"/>
      <c r="C221" s="149"/>
      <c r="D221" s="149"/>
      <c r="E221" s="147"/>
      <c r="F221" s="147"/>
      <c r="G221" s="147"/>
      <c r="H221" s="147"/>
      <c r="I221" s="161"/>
      <c r="J221" s="161"/>
      <c r="K221" s="147"/>
      <c r="L221" s="147"/>
      <c r="M221" s="147"/>
      <c r="N221" s="147"/>
      <c r="O221" s="147"/>
      <c r="P221" s="147"/>
      <c r="Q221" s="147"/>
      <c r="R221" s="147"/>
      <c r="S221" s="147"/>
      <c r="T221" s="147"/>
      <c r="U221" s="147"/>
      <c r="V221" s="147"/>
      <c r="W221" s="147"/>
      <c r="X221" s="147"/>
      <c r="Y221" s="147"/>
      <c r="Z221" s="147"/>
      <c r="AA221" s="147"/>
      <c r="AB221" s="147"/>
      <c r="AC221" s="147"/>
      <c r="AD221" s="147"/>
    </row>
    <row r="222" spans="1:30" ht="10.7" customHeight="1">
      <c r="A222" s="161"/>
      <c r="B222" s="150"/>
      <c r="C222" s="149"/>
      <c r="D222" s="149"/>
      <c r="E222" s="147"/>
      <c r="F222" s="147"/>
      <c r="G222" s="147"/>
      <c r="H222" s="147"/>
      <c r="I222" s="161"/>
      <c r="J222" s="161"/>
      <c r="K222" s="147"/>
      <c r="L222" s="147"/>
      <c r="M222" s="147"/>
      <c r="N222" s="147"/>
      <c r="O222" s="147"/>
      <c r="P222" s="147"/>
      <c r="Q222" s="147"/>
      <c r="R222" s="147"/>
      <c r="S222" s="147"/>
      <c r="T222" s="147"/>
      <c r="U222" s="147"/>
      <c r="V222" s="147"/>
      <c r="W222" s="147"/>
      <c r="X222" s="147"/>
      <c r="Y222" s="147"/>
      <c r="Z222" s="147"/>
      <c r="AA222" s="147"/>
      <c r="AB222" s="147"/>
      <c r="AC222" s="147"/>
      <c r="AD222" s="147"/>
    </row>
    <row r="223" spans="1:30" ht="12.95" customHeight="1">
      <c r="A223" s="161"/>
      <c r="B223" s="150"/>
      <c r="C223" s="149"/>
      <c r="D223" s="149"/>
      <c r="E223" s="147"/>
      <c r="F223" s="147"/>
      <c r="G223" s="147"/>
      <c r="H223" s="147"/>
      <c r="I223" s="161"/>
      <c r="J223" s="161"/>
      <c r="K223" s="147"/>
      <c r="L223" s="147"/>
      <c r="M223" s="147"/>
      <c r="N223" s="147"/>
      <c r="O223" s="147"/>
      <c r="P223" s="147"/>
      <c r="Q223" s="147"/>
      <c r="R223" s="147"/>
      <c r="S223" s="147"/>
      <c r="T223" s="147"/>
      <c r="U223" s="147"/>
      <c r="V223" s="147"/>
      <c r="W223" s="147"/>
      <c r="X223" s="147"/>
      <c r="Y223" s="147"/>
      <c r="Z223" s="147"/>
      <c r="AA223" s="147"/>
      <c r="AB223" s="147"/>
      <c r="AC223" s="147"/>
      <c r="AD223" s="147"/>
    </row>
    <row r="224" spans="1:30" ht="12.95" customHeight="1">
      <c r="A224" s="161"/>
      <c r="B224" s="150"/>
      <c r="C224" s="149"/>
      <c r="D224" s="149"/>
      <c r="E224" s="147"/>
      <c r="F224" s="147"/>
      <c r="G224" s="147"/>
      <c r="H224" s="147"/>
      <c r="I224" s="161"/>
      <c r="J224" s="161"/>
      <c r="K224" s="147"/>
      <c r="L224" s="147"/>
      <c r="M224" s="147"/>
      <c r="N224" s="147"/>
      <c r="O224" s="147"/>
      <c r="P224" s="147"/>
      <c r="Q224" s="147"/>
      <c r="R224" s="147"/>
      <c r="S224" s="147"/>
      <c r="T224" s="147"/>
      <c r="U224" s="147"/>
      <c r="V224" s="147"/>
      <c r="W224" s="147"/>
      <c r="X224" s="147"/>
      <c r="Y224" s="147"/>
      <c r="Z224" s="147"/>
      <c r="AA224" s="147"/>
      <c r="AB224" s="147"/>
      <c r="AC224" s="147"/>
      <c r="AD224" s="147"/>
    </row>
    <row r="225" spans="1:30" ht="10.7" customHeight="1">
      <c r="A225" s="148"/>
      <c r="B225" s="150"/>
      <c r="C225" s="149"/>
      <c r="D225" s="149"/>
      <c r="E225" s="147"/>
      <c r="F225" s="147"/>
      <c r="G225" s="147"/>
      <c r="H225" s="147"/>
      <c r="I225" s="161"/>
      <c r="J225" s="161"/>
      <c r="K225" s="147"/>
      <c r="L225" s="147"/>
      <c r="M225" s="147"/>
      <c r="N225" s="147"/>
      <c r="O225" s="147"/>
      <c r="P225" s="147"/>
      <c r="Q225" s="147"/>
      <c r="R225" s="147"/>
      <c r="S225" s="147"/>
      <c r="T225" s="147"/>
      <c r="U225" s="147"/>
      <c r="V225" s="147"/>
      <c r="W225" s="147"/>
      <c r="X225" s="147"/>
      <c r="Y225" s="147"/>
      <c r="Z225" s="147"/>
      <c r="AA225" s="147"/>
      <c r="AB225" s="147"/>
      <c r="AC225" s="147"/>
      <c r="AD225" s="147"/>
    </row>
    <row r="226" spans="1:30" ht="10.7" customHeight="1">
      <c r="A226" s="161"/>
      <c r="B226" s="150"/>
      <c r="C226" s="149"/>
      <c r="D226" s="149"/>
      <c r="E226" s="147"/>
      <c r="F226" s="147"/>
      <c r="G226" s="147"/>
      <c r="H226" s="147"/>
      <c r="I226" s="148"/>
      <c r="J226" s="148"/>
      <c r="K226" s="147"/>
      <c r="L226" s="147"/>
      <c r="M226" s="147"/>
      <c r="N226" s="147"/>
      <c r="O226" s="147"/>
      <c r="P226" s="147"/>
      <c r="Q226" s="147"/>
      <c r="R226" s="147"/>
      <c r="S226" s="147"/>
      <c r="T226" s="147"/>
      <c r="U226" s="147"/>
      <c r="V226" s="147"/>
      <c r="W226" s="147"/>
      <c r="X226" s="147"/>
      <c r="Y226" s="147"/>
      <c r="Z226" s="147"/>
      <c r="AA226" s="147"/>
      <c r="AB226" s="147"/>
      <c r="AC226" s="147"/>
      <c r="AD226" s="147"/>
    </row>
    <row r="227" spans="1:30" ht="10.7" customHeight="1">
      <c r="A227" s="161"/>
      <c r="B227" s="150"/>
      <c r="C227" s="149"/>
      <c r="D227" s="149"/>
      <c r="E227" s="147"/>
      <c r="F227" s="147"/>
      <c r="G227" s="147"/>
      <c r="H227" s="147"/>
      <c r="I227" s="161"/>
      <c r="J227" s="161"/>
      <c r="K227" s="147"/>
      <c r="L227" s="147"/>
      <c r="M227" s="147"/>
      <c r="N227" s="147"/>
      <c r="O227" s="147"/>
      <c r="P227" s="147"/>
      <c r="Q227" s="147"/>
      <c r="R227" s="147"/>
      <c r="S227" s="147"/>
      <c r="T227" s="147"/>
      <c r="U227" s="147"/>
      <c r="V227" s="147"/>
      <c r="W227" s="147"/>
      <c r="X227" s="147"/>
      <c r="Y227" s="147"/>
      <c r="Z227" s="147"/>
      <c r="AA227" s="147"/>
      <c r="AB227" s="147"/>
      <c r="AC227" s="147"/>
      <c r="AD227" s="147"/>
    </row>
    <row r="228" spans="1:30" ht="10.7" customHeight="1">
      <c r="A228" s="161"/>
      <c r="B228" s="150"/>
      <c r="C228" s="149"/>
      <c r="D228" s="149"/>
      <c r="E228" s="147"/>
      <c r="F228" s="160"/>
      <c r="G228" s="147"/>
      <c r="H228" s="147"/>
      <c r="I228" s="161"/>
      <c r="J228" s="161"/>
      <c r="K228" s="147"/>
      <c r="L228" s="147"/>
      <c r="M228" s="147"/>
      <c r="N228" s="147"/>
      <c r="O228" s="147"/>
      <c r="P228" s="147"/>
      <c r="Q228" s="147"/>
      <c r="R228" s="147"/>
      <c r="S228" s="147"/>
      <c r="T228" s="147"/>
      <c r="U228" s="147"/>
      <c r="V228" s="147"/>
      <c r="W228" s="147"/>
      <c r="X228" s="147"/>
      <c r="Y228" s="147"/>
      <c r="Z228" s="147"/>
      <c r="AA228" s="147"/>
      <c r="AB228" s="147"/>
      <c r="AC228" s="147"/>
      <c r="AD228" s="147"/>
    </row>
    <row r="229" spans="1:30" ht="10.7" customHeight="1">
      <c r="A229" s="161"/>
      <c r="B229" s="150"/>
      <c r="C229" s="149"/>
      <c r="D229" s="149"/>
      <c r="E229" s="147"/>
      <c r="F229" s="147"/>
      <c r="G229" s="147"/>
      <c r="H229" s="147"/>
      <c r="I229" s="161"/>
      <c r="J229" s="161"/>
      <c r="K229" s="147"/>
      <c r="L229" s="147"/>
      <c r="M229" s="147"/>
      <c r="N229" s="147"/>
      <c r="O229" s="147"/>
      <c r="P229" s="147"/>
      <c r="Q229" s="147"/>
      <c r="R229" s="147"/>
      <c r="S229" s="147"/>
      <c r="T229" s="147"/>
      <c r="U229" s="147"/>
      <c r="V229" s="147"/>
      <c r="W229" s="147"/>
      <c r="X229" s="147"/>
      <c r="Y229" s="147"/>
      <c r="Z229" s="147"/>
      <c r="AA229" s="147"/>
      <c r="AB229" s="147"/>
      <c r="AC229" s="147"/>
      <c r="AD229" s="147"/>
    </row>
    <row r="230" spans="1:30" ht="10.7" customHeight="1">
      <c r="A230" s="161"/>
      <c r="B230" s="150"/>
      <c r="C230" s="149"/>
      <c r="D230" s="149"/>
      <c r="E230" s="147"/>
      <c r="F230" s="160"/>
      <c r="G230" s="147"/>
      <c r="H230" s="147"/>
      <c r="I230" s="161"/>
      <c r="J230" s="161"/>
      <c r="K230" s="147"/>
      <c r="L230" s="147"/>
      <c r="M230" s="147"/>
      <c r="N230" s="147"/>
      <c r="O230" s="147"/>
      <c r="P230" s="147"/>
      <c r="Q230" s="147"/>
      <c r="R230" s="147"/>
      <c r="S230" s="147"/>
      <c r="T230" s="147"/>
      <c r="U230" s="147"/>
      <c r="V230" s="167"/>
      <c r="W230" s="147"/>
      <c r="X230" s="147"/>
      <c r="Y230" s="147"/>
      <c r="Z230" s="147"/>
      <c r="AA230" s="147"/>
      <c r="AB230" s="147"/>
      <c r="AC230" s="147"/>
      <c r="AD230" s="147"/>
    </row>
    <row r="231" spans="1:30" ht="10.7" customHeight="1">
      <c r="A231" s="161"/>
      <c r="B231" s="150"/>
      <c r="C231" s="149"/>
      <c r="D231" s="149"/>
      <c r="E231" s="147"/>
      <c r="F231" s="147"/>
      <c r="G231" s="147"/>
      <c r="H231" s="147"/>
      <c r="I231" s="161"/>
      <c r="J231" s="161"/>
      <c r="K231" s="147"/>
      <c r="L231" s="147"/>
      <c r="M231" s="147"/>
      <c r="N231" s="147"/>
      <c r="O231" s="147"/>
      <c r="P231" s="147"/>
      <c r="Q231" s="147"/>
      <c r="R231" s="147"/>
      <c r="S231" s="147"/>
      <c r="T231" s="147"/>
      <c r="U231" s="147"/>
      <c r="V231" s="147"/>
      <c r="W231" s="147"/>
      <c r="X231" s="147"/>
      <c r="Y231" s="147"/>
      <c r="Z231" s="147"/>
      <c r="AA231" s="147"/>
      <c r="AB231" s="147"/>
      <c r="AC231" s="147"/>
      <c r="AD231" s="147"/>
    </row>
    <row r="232" spans="1:30" ht="10.7" customHeight="1">
      <c r="A232" s="161"/>
      <c r="B232" s="150"/>
      <c r="C232" s="149"/>
      <c r="D232" s="149"/>
      <c r="E232" s="147"/>
      <c r="F232" s="160"/>
      <c r="G232" s="147"/>
      <c r="H232" s="147"/>
      <c r="I232" s="161"/>
      <c r="J232" s="161"/>
      <c r="K232" s="147"/>
      <c r="L232" s="147"/>
      <c r="M232" s="147"/>
      <c r="N232" s="147"/>
      <c r="O232" s="147"/>
      <c r="P232" s="147"/>
      <c r="Q232" s="147"/>
      <c r="R232" s="147"/>
      <c r="S232" s="147"/>
      <c r="T232" s="147"/>
      <c r="U232" s="147"/>
      <c r="V232" s="147"/>
      <c r="W232" s="147"/>
      <c r="X232" s="147"/>
      <c r="Y232" s="147"/>
      <c r="Z232" s="147"/>
      <c r="AA232" s="147"/>
      <c r="AB232" s="147"/>
      <c r="AC232" s="147"/>
      <c r="AD232" s="147"/>
    </row>
    <row r="233" spans="1:30" ht="10.7" customHeight="1">
      <c r="A233" s="161"/>
      <c r="B233" s="150"/>
      <c r="C233" s="149"/>
      <c r="D233" s="149"/>
      <c r="E233" s="147"/>
      <c r="F233" s="160"/>
      <c r="G233" s="147"/>
      <c r="H233" s="147"/>
      <c r="I233" s="161"/>
      <c r="J233" s="161"/>
      <c r="K233" s="147"/>
      <c r="L233" s="147"/>
      <c r="M233" s="147"/>
      <c r="N233" s="147"/>
      <c r="O233" s="147"/>
      <c r="P233" s="147"/>
      <c r="Q233" s="147"/>
      <c r="R233" s="147"/>
      <c r="S233" s="147"/>
      <c r="T233" s="147"/>
      <c r="U233" s="147"/>
      <c r="V233" s="147"/>
      <c r="W233" s="147"/>
      <c r="X233" s="147"/>
      <c r="Y233" s="147"/>
      <c r="Z233" s="147"/>
      <c r="AA233" s="147"/>
      <c r="AB233" s="147"/>
      <c r="AC233" s="147"/>
      <c r="AD233" s="147"/>
    </row>
    <row r="234" spans="1:30" ht="10.7" customHeight="1">
      <c r="A234" s="156"/>
      <c r="B234" s="165"/>
      <c r="C234" s="149"/>
      <c r="D234" s="149"/>
      <c r="E234" s="147"/>
      <c r="F234" s="160"/>
      <c r="G234" s="147"/>
      <c r="H234" s="147"/>
      <c r="I234" s="161"/>
      <c r="J234" s="161"/>
      <c r="K234" s="147"/>
      <c r="L234" s="147"/>
      <c r="M234" s="147"/>
      <c r="N234" s="147"/>
      <c r="O234" s="147"/>
      <c r="P234" s="147"/>
      <c r="Q234" s="147"/>
      <c r="R234" s="147"/>
      <c r="S234" s="147"/>
      <c r="T234" s="147"/>
      <c r="U234" s="147"/>
      <c r="V234" s="147"/>
      <c r="W234" s="147"/>
      <c r="X234" s="147"/>
      <c r="Y234" s="147"/>
      <c r="Z234" s="147"/>
      <c r="AA234" s="147"/>
      <c r="AB234" s="147"/>
      <c r="AC234" s="147"/>
      <c r="AD234" s="147"/>
    </row>
    <row r="235" spans="1:30" ht="10.7" customHeight="1">
      <c r="A235" s="161"/>
      <c r="B235" s="150"/>
      <c r="C235" s="149"/>
      <c r="D235" s="149"/>
      <c r="E235" s="147"/>
      <c r="F235" s="160"/>
      <c r="G235" s="147"/>
      <c r="H235" s="147"/>
      <c r="I235" s="156"/>
      <c r="J235" s="156"/>
      <c r="K235" s="147"/>
      <c r="L235" s="147"/>
      <c r="M235" s="147"/>
      <c r="N235" s="147"/>
      <c r="O235" s="147"/>
      <c r="P235" s="147"/>
      <c r="Q235" s="147"/>
      <c r="R235" s="147"/>
      <c r="S235" s="147"/>
      <c r="T235" s="147"/>
      <c r="U235" s="147"/>
      <c r="V235" s="147"/>
      <c r="W235" s="147"/>
      <c r="X235" s="147"/>
      <c r="Y235" s="147"/>
      <c r="Z235" s="147"/>
      <c r="AA235" s="147"/>
      <c r="AB235" s="147"/>
      <c r="AC235" s="147"/>
      <c r="AD235" s="147"/>
    </row>
    <row r="236" spans="1:30" ht="10.7" customHeight="1">
      <c r="A236" s="161"/>
      <c r="B236" s="150"/>
      <c r="C236" s="149"/>
      <c r="D236" s="149"/>
      <c r="E236" s="147"/>
      <c r="F236" s="166"/>
      <c r="G236" s="147"/>
      <c r="H236" s="147"/>
      <c r="I236" s="161"/>
      <c r="J236" s="161"/>
      <c r="K236" s="147"/>
      <c r="L236" s="147"/>
      <c r="M236" s="147"/>
      <c r="N236" s="147"/>
      <c r="O236" s="147"/>
      <c r="P236" s="147"/>
      <c r="Q236" s="147"/>
      <c r="R236" s="147"/>
      <c r="S236" s="147"/>
      <c r="T236" s="147"/>
      <c r="U236" s="147"/>
      <c r="V236" s="147"/>
      <c r="W236" s="147"/>
      <c r="X236" s="147"/>
      <c r="Y236" s="147"/>
      <c r="Z236" s="147"/>
      <c r="AA236" s="147"/>
      <c r="AB236" s="147"/>
      <c r="AC236" s="147"/>
      <c r="AD236" s="147"/>
    </row>
    <row r="237" spans="1:30" ht="10.7" customHeight="1">
      <c r="A237" s="156"/>
      <c r="B237" s="150"/>
      <c r="C237" s="165"/>
      <c r="D237" s="165"/>
      <c r="E237" s="147"/>
      <c r="F237" s="166"/>
      <c r="G237" s="147"/>
      <c r="H237" s="147"/>
      <c r="I237" s="161"/>
      <c r="J237" s="161"/>
      <c r="K237" s="147"/>
      <c r="L237" s="147"/>
      <c r="M237" s="147"/>
      <c r="N237" s="147"/>
      <c r="O237" s="147"/>
      <c r="P237" s="147"/>
      <c r="Q237" s="147"/>
      <c r="R237" s="147"/>
      <c r="S237" s="147"/>
      <c r="T237" s="147"/>
      <c r="U237" s="147"/>
      <c r="V237" s="147"/>
      <c r="W237" s="147"/>
      <c r="X237" s="147"/>
      <c r="Y237" s="147"/>
      <c r="Z237" s="147"/>
      <c r="AA237" s="147"/>
      <c r="AB237" s="147"/>
      <c r="AC237" s="147"/>
      <c r="AD237" s="147"/>
    </row>
    <row r="238" spans="1:30" ht="10.7" customHeight="1">
      <c r="A238" s="156"/>
      <c r="B238" s="147"/>
      <c r="C238" s="149"/>
      <c r="D238" s="149"/>
      <c r="E238" s="147"/>
      <c r="F238" s="147"/>
      <c r="G238" s="157"/>
      <c r="H238" s="157"/>
      <c r="I238" s="156"/>
      <c r="J238" s="156"/>
      <c r="K238" s="147"/>
      <c r="L238" s="147"/>
      <c r="M238" s="147"/>
      <c r="N238" s="147"/>
      <c r="O238" s="147"/>
      <c r="P238" s="147"/>
      <c r="Q238" s="147"/>
      <c r="R238" s="147"/>
      <c r="S238" s="147"/>
      <c r="T238" s="147"/>
      <c r="U238" s="147"/>
      <c r="V238" s="147"/>
      <c r="W238" s="147"/>
      <c r="X238" s="147"/>
      <c r="Y238" s="147"/>
      <c r="Z238" s="147"/>
      <c r="AA238" s="147"/>
      <c r="AB238" s="147"/>
      <c r="AC238" s="147"/>
      <c r="AD238" s="147"/>
    </row>
    <row r="239" spans="1:30" ht="10.7" customHeight="1">
      <c r="A239" s="156"/>
      <c r="B239" s="147"/>
      <c r="C239" s="149"/>
      <c r="D239" s="149"/>
      <c r="E239" s="147"/>
      <c r="F239" s="153"/>
      <c r="G239" s="147"/>
      <c r="H239" s="147"/>
      <c r="I239" s="156"/>
      <c r="J239" s="156"/>
      <c r="K239" s="147"/>
      <c r="L239" s="147"/>
      <c r="M239" s="147"/>
      <c r="N239" s="147"/>
      <c r="O239" s="147"/>
      <c r="P239" s="147"/>
      <c r="Q239" s="147"/>
      <c r="R239" s="147"/>
      <c r="S239" s="147"/>
      <c r="T239" s="147"/>
      <c r="U239" s="147"/>
      <c r="V239" s="147"/>
      <c r="W239" s="147"/>
      <c r="X239" s="147"/>
      <c r="Y239" s="147"/>
      <c r="Z239" s="147"/>
      <c r="AA239" s="147"/>
      <c r="AB239" s="147"/>
      <c r="AC239" s="147"/>
      <c r="AD239" s="147"/>
    </row>
    <row r="240" spans="1:30" ht="10.7" customHeight="1">
      <c r="A240" s="161"/>
      <c r="B240" s="150"/>
      <c r="C240" s="149"/>
      <c r="D240" s="149"/>
      <c r="E240" s="147"/>
      <c r="F240" s="153"/>
      <c r="G240" s="147"/>
      <c r="H240" s="147"/>
      <c r="I240" s="156"/>
      <c r="J240" s="156"/>
      <c r="K240" s="147"/>
      <c r="L240" s="147"/>
      <c r="M240" s="147"/>
      <c r="N240" s="147"/>
      <c r="O240" s="147"/>
      <c r="P240" s="147"/>
      <c r="Q240" s="147"/>
      <c r="R240" s="147"/>
      <c r="S240" s="147"/>
      <c r="T240" s="147"/>
      <c r="U240" s="147"/>
      <c r="V240" s="147"/>
      <c r="W240" s="147"/>
      <c r="X240" s="147"/>
      <c r="Y240" s="147"/>
      <c r="Z240" s="147"/>
      <c r="AA240" s="147"/>
      <c r="AB240" s="147"/>
      <c r="AC240" s="147"/>
      <c r="AD240" s="147"/>
    </row>
    <row r="241" spans="1:30" ht="13.5" customHeight="1">
      <c r="A241" s="156"/>
      <c r="B241" s="150"/>
      <c r="C241" s="165"/>
      <c r="D241" s="165"/>
      <c r="E241" s="147"/>
      <c r="F241" s="147"/>
      <c r="G241" s="147"/>
      <c r="H241" s="147"/>
      <c r="I241" s="161"/>
      <c r="J241" s="161"/>
      <c r="K241" s="147"/>
      <c r="L241" s="147"/>
      <c r="M241" s="147"/>
      <c r="N241" s="147"/>
      <c r="O241" s="147"/>
      <c r="P241" s="147"/>
      <c r="Q241" s="147"/>
      <c r="R241" s="147"/>
      <c r="S241" s="147"/>
      <c r="T241" s="147"/>
      <c r="U241" s="147"/>
      <c r="V241" s="147"/>
      <c r="W241" s="147"/>
      <c r="X241" s="147"/>
      <c r="Y241" s="147"/>
      <c r="Z241" s="147"/>
      <c r="AA241" s="147"/>
      <c r="AB241" s="147"/>
      <c r="AC241" s="147"/>
      <c r="AD241" s="147"/>
    </row>
    <row r="242" spans="1:30" ht="10.7" customHeight="1">
      <c r="A242" s="161"/>
      <c r="B242" s="150"/>
      <c r="C242" s="149"/>
      <c r="D242" s="149"/>
      <c r="E242" s="147"/>
      <c r="F242" s="147"/>
      <c r="G242" s="147"/>
      <c r="H242" s="147"/>
      <c r="I242" s="156"/>
      <c r="J242" s="156"/>
      <c r="K242" s="147"/>
      <c r="L242" s="147"/>
      <c r="M242" s="147"/>
      <c r="N242" s="147"/>
      <c r="O242" s="147"/>
      <c r="P242" s="147"/>
      <c r="Q242" s="147"/>
      <c r="R242" s="147"/>
      <c r="S242" s="147"/>
      <c r="T242" s="147"/>
      <c r="U242" s="147"/>
      <c r="V242" s="147"/>
      <c r="W242" s="147"/>
      <c r="X242" s="147"/>
      <c r="Y242" s="147"/>
      <c r="Z242" s="147"/>
      <c r="AA242" s="147"/>
      <c r="AB242" s="147"/>
      <c r="AC242" s="147"/>
      <c r="AD242" s="147"/>
    </row>
    <row r="243" spans="1:30" ht="10.7" customHeight="1">
      <c r="A243" s="161"/>
      <c r="B243" s="150"/>
      <c r="C243" s="165"/>
      <c r="D243" s="165"/>
      <c r="E243" s="147"/>
      <c r="F243" s="147"/>
      <c r="G243" s="147"/>
      <c r="H243" s="147"/>
      <c r="I243" s="161"/>
      <c r="J243" s="161"/>
      <c r="K243" s="147"/>
      <c r="L243" s="147"/>
      <c r="M243" s="147"/>
      <c r="N243" s="147"/>
      <c r="O243" s="147"/>
      <c r="P243" s="147"/>
      <c r="Q243" s="147"/>
      <c r="R243" s="147"/>
      <c r="S243" s="147"/>
      <c r="T243" s="147"/>
      <c r="U243" s="147"/>
      <c r="V243" s="147"/>
      <c r="W243" s="147"/>
      <c r="X243" s="147"/>
      <c r="Y243" s="147"/>
      <c r="Z243" s="147"/>
      <c r="AA243" s="147"/>
      <c r="AB243" s="147"/>
      <c r="AC243" s="147"/>
      <c r="AD243" s="147"/>
    </row>
    <row r="244" spans="1:30" ht="10.7" customHeight="1">
      <c r="A244" s="156"/>
      <c r="B244" s="150"/>
      <c r="C244" s="149"/>
      <c r="D244" s="149"/>
      <c r="E244" s="147"/>
      <c r="F244" s="147"/>
      <c r="G244" s="147"/>
      <c r="H244" s="147"/>
      <c r="I244" s="161"/>
      <c r="J244" s="161"/>
      <c r="K244" s="147"/>
      <c r="L244" s="147"/>
      <c r="M244" s="147"/>
      <c r="N244" s="147"/>
      <c r="O244" s="147"/>
      <c r="P244" s="147"/>
      <c r="Q244" s="147"/>
      <c r="R244" s="147"/>
      <c r="S244" s="147"/>
      <c r="T244" s="147"/>
      <c r="U244" s="147"/>
      <c r="V244" s="147"/>
      <c r="W244" s="147"/>
      <c r="X244" s="147"/>
      <c r="Y244" s="147"/>
      <c r="Z244" s="147"/>
      <c r="AA244" s="147"/>
      <c r="AB244" s="147"/>
      <c r="AC244" s="147"/>
      <c r="AD244" s="147"/>
    </row>
    <row r="245" spans="1:30" ht="10.7" customHeight="1">
      <c r="A245" s="156"/>
      <c r="B245" s="150"/>
      <c r="C245" s="149"/>
      <c r="D245" s="149"/>
      <c r="E245" s="147"/>
      <c r="F245" s="147"/>
      <c r="G245" s="157"/>
      <c r="H245" s="157"/>
      <c r="I245" s="156"/>
      <c r="J245" s="156"/>
      <c r="K245" s="147"/>
      <c r="L245" s="147"/>
      <c r="M245" s="147"/>
      <c r="N245" s="147"/>
      <c r="O245" s="147"/>
      <c r="P245" s="147"/>
      <c r="Q245" s="147"/>
      <c r="R245" s="147"/>
      <c r="S245" s="147"/>
      <c r="T245" s="147"/>
      <c r="U245" s="147"/>
      <c r="V245" s="147"/>
      <c r="W245" s="147"/>
      <c r="X245" s="147"/>
      <c r="Y245" s="147"/>
      <c r="Z245" s="147"/>
      <c r="AA245" s="147"/>
      <c r="AB245" s="147"/>
      <c r="AC245" s="147"/>
      <c r="AD245" s="147"/>
    </row>
    <row r="246" spans="1:30" ht="10.7" customHeight="1">
      <c r="A246" s="156"/>
      <c r="B246" s="150"/>
      <c r="C246" s="165"/>
      <c r="D246" s="165"/>
      <c r="E246" s="147"/>
      <c r="F246" s="160"/>
      <c r="G246" s="147"/>
      <c r="H246" s="147"/>
      <c r="I246" s="156"/>
      <c r="J246" s="156"/>
      <c r="K246" s="147"/>
      <c r="L246" s="147"/>
      <c r="M246" s="147"/>
      <c r="N246" s="147"/>
      <c r="O246" s="147"/>
      <c r="P246" s="147"/>
      <c r="Q246" s="147"/>
      <c r="R246" s="147"/>
      <c r="S246" s="147"/>
      <c r="T246" s="147"/>
      <c r="U246" s="147"/>
      <c r="V246" s="147"/>
      <c r="W246" s="147"/>
      <c r="X246" s="147"/>
      <c r="Y246" s="147"/>
      <c r="Z246" s="147"/>
      <c r="AA246" s="147"/>
      <c r="AB246" s="147"/>
      <c r="AC246" s="147"/>
      <c r="AD246" s="147"/>
    </row>
    <row r="247" spans="1:30" ht="10.7" customHeight="1">
      <c r="A247" s="156"/>
      <c r="B247" s="150"/>
      <c r="C247" s="149"/>
      <c r="D247" s="149"/>
      <c r="E247" s="147"/>
      <c r="F247" s="147"/>
      <c r="G247" s="157"/>
      <c r="H247" s="157"/>
      <c r="I247" s="156"/>
      <c r="J247" s="156"/>
      <c r="K247" s="147"/>
      <c r="L247" s="147"/>
      <c r="M247" s="147"/>
      <c r="N247" s="147"/>
      <c r="O247" s="147"/>
      <c r="P247" s="147"/>
      <c r="Q247" s="147"/>
      <c r="R247" s="147"/>
      <c r="S247" s="147"/>
      <c r="T247" s="147"/>
      <c r="U247" s="147"/>
      <c r="V247" s="147"/>
      <c r="W247" s="147"/>
      <c r="X247" s="147"/>
      <c r="Y247" s="147"/>
      <c r="Z247" s="147"/>
      <c r="AA247" s="147"/>
      <c r="AB247" s="147"/>
      <c r="AC247" s="147"/>
      <c r="AD247" s="147"/>
    </row>
    <row r="248" spans="1:30" ht="10.7" customHeight="1">
      <c r="A248" s="156"/>
      <c r="B248" s="150"/>
      <c r="C248" s="149"/>
      <c r="D248" s="149"/>
      <c r="E248" s="147"/>
      <c r="F248" s="147"/>
      <c r="G248" s="157"/>
      <c r="H248" s="157"/>
      <c r="I248" s="156"/>
      <c r="J248" s="156"/>
      <c r="K248" s="147"/>
      <c r="L248" s="147"/>
      <c r="M248" s="147"/>
      <c r="N248" s="147"/>
      <c r="O248" s="147"/>
      <c r="P248" s="147"/>
      <c r="Q248" s="147"/>
      <c r="R248" s="147"/>
      <c r="S248" s="147"/>
      <c r="T248" s="147"/>
      <c r="U248" s="147"/>
      <c r="V248" s="147"/>
      <c r="W248" s="147"/>
      <c r="X248" s="147"/>
      <c r="Y248" s="147"/>
      <c r="Z248" s="147"/>
      <c r="AA248" s="147"/>
      <c r="AB248" s="147"/>
      <c r="AC248" s="147"/>
      <c r="AD248" s="147"/>
    </row>
    <row r="249" spans="1:30" ht="10.7" customHeight="1">
      <c r="A249" s="156"/>
      <c r="B249" s="150"/>
      <c r="C249" s="149"/>
      <c r="D249" s="149"/>
      <c r="E249" s="147"/>
      <c r="F249" s="160"/>
      <c r="G249" s="147"/>
      <c r="H249" s="147"/>
      <c r="I249" s="156"/>
      <c r="J249" s="156"/>
      <c r="K249" s="147"/>
      <c r="L249" s="147"/>
      <c r="M249" s="147"/>
      <c r="N249" s="147"/>
      <c r="O249" s="147"/>
      <c r="P249" s="147"/>
      <c r="Q249" s="147"/>
      <c r="R249" s="147"/>
      <c r="S249" s="147"/>
      <c r="T249" s="147"/>
      <c r="U249" s="147"/>
      <c r="V249" s="147"/>
      <c r="W249" s="147"/>
      <c r="X249" s="147"/>
      <c r="Y249" s="147"/>
      <c r="Z249" s="147"/>
      <c r="AA249" s="147"/>
      <c r="AB249" s="147"/>
      <c r="AC249" s="147"/>
      <c r="AD249" s="147"/>
    </row>
    <row r="250" spans="1:30" ht="10.7" customHeight="1">
      <c r="A250" s="161"/>
      <c r="B250" s="150"/>
      <c r="C250" s="149"/>
      <c r="D250" s="149"/>
      <c r="E250" s="147"/>
      <c r="F250" s="147"/>
      <c r="G250" s="157"/>
      <c r="H250" s="157"/>
      <c r="I250" s="156"/>
      <c r="J250" s="156"/>
      <c r="K250" s="147"/>
      <c r="L250" s="147"/>
      <c r="M250" s="147"/>
      <c r="N250" s="147"/>
      <c r="O250" s="147"/>
      <c r="P250" s="147"/>
      <c r="Q250" s="147"/>
      <c r="R250" s="147"/>
      <c r="S250" s="147"/>
      <c r="T250" s="147"/>
      <c r="U250" s="147"/>
      <c r="V250" s="147"/>
      <c r="W250" s="147"/>
      <c r="X250" s="147"/>
      <c r="Y250" s="147"/>
      <c r="Z250" s="147"/>
      <c r="AA250" s="147"/>
      <c r="AB250" s="147"/>
      <c r="AC250" s="147"/>
      <c r="AD250" s="147"/>
    </row>
    <row r="251" spans="1:30" ht="10.7" customHeight="1">
      <c r="A251" s="161"/>
      <c r="B251" s="150"/>
      <c r="C251" s="149"/>
      <c r="D251" s="149"/>
      <c r="E251" s="147"/>
      <c r="F251" s="160"/>
      <c r="G251" s="147"/>
      <c r="H251" s="147"/>
      <c r="I251" s="161"/>
      <c r="J251" s="161"/>
      <c r="K251" s="147"/>
      <c r="L251" s="147"/>
      <c r="M251" s="147"/>
      <c r="N251" s="147"/>
      <c r="O251" s="147"/>
      <c r="P251" s="147"/>
      <c r="Q251" s="147"/>
      <c r="R251" s="147"/>
      <c r="S251" s="147"/>
      <c r="T251" s="147"/>
      <c r="U251" s="147"/>
      <c r="V251" s="147"/>
      <c r="W251" s="147"/>
      <c r="X251" s="147"/>
      <c r="Y251" s="147"/>
      <c r="Z251" s="147"/>
      <c r="AA251" s="147"/>
      <c r="AB251" s="147"/>
      <c r="AC251" s="147"/>
      <c r="AD251" s="147"/>
    </row>
    <row r="252" spans="1:30" ht="10.7" customHeight="1">
      <c r="A252" s="156"/>
      <c r="B252" s="150"/>
      <c r="C252" s="165"/>
      <c r="D252" s="165"/>
      <c r="E252" s="147"/>
      <c r="F252" s="160"/>
      <c r="G252" s="147"/>
      <c r="H252" s="147"/>
      <c r="I252" s="161"/>
      <c r="J252" s="161"/>
      <c r="K252" s="147"/>
      <c r="L252" s="147"/>
      <c r="M252" s="147"/>
      <c r="N252" s="147"/>
      <c r="O252" s="147"/>
      <c r="P252" s="147"/>
      <c r="Q252" s="147"/>
      <c r="R252" s="147"/>
      <c r="S252" s="147"/>
      <c r="T252" s="147"/>
      <c r="U252" s="147"/>
      <c r="V252" s="147"/>
      <c r="W252" s="147"/>
      <c r="X252" s="147"/>
      <c r="Y252" s="147"/>
      <c r="Z252" s="147"/>
      <c r="AA252" s="147"/>
      <c r="AB252" s="147"/>
      <c r="AC252" s="147"/>
      <c r="AD252" s="147"/>
    </row>
    <row r="253" spans="1:30" ht="10.7" customHeight="1">
      <c r="A253" s="156"/>
      <c r="B253" s="150"/>
      <c r="C253" s="149"/>
      <c r="D253" s="149"/>
      <c r="E253" s="147"/>
      <c r="F253" s="147"/>
      <c r="G253" s="147"/>
      <c r="H253" s="147"/>
      <c r="I253" s="156"/>
      <c r="J253" s="156"/>
      <c r="K253" s="147"/>
      <c r="L253" s="147"/>
      <c r="M253" s="147"/>
      <c r="N253" s="147"/>
      <c r="O253" s="147"/>
      <c r="P253" s="147"/>
      <c r="Q253" s="147"/>
      <c r="R253" s="147"/>
      <c r="S253" s="147"/>
      <c r="T253" s="147"/>
      <c r="U253" s="147"/>
      <c r="V253" s="147"/>
      <c r="W253" s="147"/>
      <c r="X253" s="147"/>
      <c r="Y253" s="147"/>
      <c r="Z253" s="147"/>
      <c r="AA253" s="147"/>
      <c r="AB253" s="147"/>
      <c r="AC253" s="147"/>
      <c r="AD253" s="147"/>
    </row>
    <row r="254" spans="1:30" ht="10.7" customHeight="1">
      <c r="A254" s="156"/>
      <c r="B254" s="150"/>
      <c r="C254" s="149"/>
      <c r="D254" s="149"/>
      <c r="E254" s="147"/>
      <c r="F254" s="147"/>
      <c r="G254" s="147"/>
      <c r="H254" s="147"/>
      <c r="I254" s="156"/>
      <c r="J254" s="156"/>
      <c r="K254" s="147"/>
      <c r="L254" s="147"/>
      <c r="M254" s="147"/>
      <c r="N254" s="147"/>
      <c r="O254" s="147"/>
      <c r="P254" s="147"/>
      <c r="Q254" s="147"/>
      <c r="R254" s="147"/>
      <c r="S254" s="147"/>
      <c r="T254" s="147"/>
      <c r="U254" s="147"/>
      <c r="V254" s="147"/>
      <c r="W254" s="147"/>
      <c r="X254" s="147"/>
      <c r="Y254" s="147"/>
      <c r="Z254" s="147"/>
      <c r="AA254" s="147"/>
      <c r="AB254" s="147"/>
      <c r="AC254" s="147"/>
      <c r="AD254" s="147"/>
    </row>
    <row r="255" spans="1:30" ht="10.7" customHeight="1">
      <c r="A255" s="161"/>
      <c r="B255" s="150"/>
      <c r="C255" s="149"/>
      <c r="D255" s="149"/>
      <c r="E255" s="147"/>
      <c r="F255" s="163"/>
      <c r="G255" s="147"/>
      <c r="H255" s="147"/>
      <c r="I255" s="156"/>
      <c r="J255" s="156"/>
      <c r="K255" s="147"/>
      <c r="L255" s="147"/>
      <c r="M255" s="147"/>
      <c r="N255" s="147"/>
      <c r="O255" s="147"/>
      <c r="P255" s="147"/>
      <c r="Q255" s="147"/>
      <c r="R255" s="147"/>
      <c r="S255" s="147"/>
      <c r="T255" s="147"/>
      <c r="U255" s="147"/>
      <c r="V255" s="147"/>
      <c r="W255" s="147"/>
      <c r="X255" s="147"/>
      <c r="Y255" s="147"/>
      <c r="Z255" s="147"/>
      <c r="AA255" s="147"/>
      <c r="AB255" s="147"/>
      <c r="AC255" s="147"/>
      <c r="AD255" s="147"/>
    </row>
    <row r="256" spans="1:30" ht="15.2" customHeight="1">
      <c r="A256" s="156"/>
      <c r="B256" s="150"/>
      <c r="C256" s="165"/>
      <c r="D256" s="165"/>
      <c r="E256" s="147"/>
      <c r="F256" s="164"/>
      <c r="G256" s="147"/>
      <c r="H256" s="147"/>
      <c r="I256" s="161"/>
      <c r="J256" s="161"/>
      <c r="K256" s="147"/>
      <c r="L256" s="147"/>
      <c r="M256" s="147"/>
      <c r="N256" s="147"/>
      <c r="O256" s="147"/>
      <c r="P256" s="147"/>
      <c r="Q256" s="147"/>
      <c r="R256" s="147"/>
      <c r="S256" s="147"/>
      <c r="T256" s="147"/>
      <c r="U256" s="147"/>
      <c r="V256" s="147"/>
      <c r="W256" s="147"/>
      <c r="X256" s="147"/>
      <c r="Y256" s="147"/>
      <c r="Z256" s="147"/>
      <c r="AA256" s="147"/>
      <c r="AB256" s="147"/>
      <c r="AC256" s="147"/>
      <c r="AD256" s="147"/>
    </row>
    <row r="257" spans="1:30" ht="10.7" customHeight="1">
      <c r="A257" s="161"/>
      <c r="B257" s="150"/>
      <c r="C257" s="149"/>
      <c r="D257" s="149"/>
      <c r="E257" s="147"/>
      <c r="F257" s="147"/>
      <c r="G257" s="147"/>
      <c r="H257" s="147"/>
      <c r="I257" s="156"/>
      <c r="J257" s="156"/>
      <c r="K257" s="147"/>
      <c r="L257" s="147"/>
      <c r="M257" s="147"/>
      <c r="N257" s="147"/>
      <c r="O257" s="147"/>
      <c r="P257" s="147"/>
      <c r="Q257" s="147"/>
      <c r="R257" s="147"/>
      <c r="S257" s="147"/>
      <c r="T257" s="147"/>
      <c r="U257" s="147"/>
      <c r="V257" s="147"/>
      <c r="W257" s="147"/>
      <c r="X257" s="147"/>
      <c r="Y257" s="147"/>
      <c r="Z257" s="147"/>
      <c r="AA257" s="147"/>
      <c r="AB257" s="147"/>
      <c r="AC257" s="147"/>
      <c r="AD257" s="147"/>
    </row>
    <row r="258" spans="1:30" ht="10.7" customHeight="1">
      <c r="A258" s="156"/>
      <c r="B258" s="150"/>
      <c r="C258" s="149"/>
      <c r="D258" s="149"/>
      <c r="E258" s="147"/>
      <c r="F258" s="147"/>
      <c r="G258" s="147"/>
      <c r="H258" s="147"/>
      <c r="I258" s="161"/>
      <c r="J258" s="161"/>
      <c r="K258" s="147"/>
      <c r="L258" s="147"/>
      <c r="M258" s="147"/>
      <c r="N258" s="147"/>
      <c r="O258" s="147"/>
      <c r="P258" s="147"/>
      <c r="Q258" s="147"/>
      <c r="R258" s="147"/>
      <c r="S258" s="147"/>
      <c r="T258" s="147"/>
      <c r="U258" s="147"/>
      <c r="V258" s="147"/>
      <c r="W258" s="147"/>
      <c r="X258" s="147"/>
      <c r="Y258" s="147"/>
      <c r="Z258" s="147"/>
      <c r="AA258" s="147"/>
      <c r="AB258" s="147"/>
      <c r="AC258" s="147"/>
      <c r="AD258" s="147"/>
    </row>
    <row r="259" spans="1:30" ht="10.7" customHeight="1">
      <c r="A259" s="156"/>
      <c r="B259" s="150"/>
      <c r="C259" s="149"/>
      <c r="D259" s="149"/>
      <c r="E259" s="147"/>
      <c r="F259" s="147"/>
      <c r="G259" s="147"/>
      <c r="H259" s="147"/>
      <c r="I259" s="156"/>
      <c r="J259" s="156"/>
      <c r="K259" s="147"/>
      <c r="L259" s="147"/>
      <c r="M259" s="147"/>
      <c r="N259" s="147"/>
      <c r="O259" s="147"/>
      <c r="P259" s="147"/>
      <c r="Q259" s="147"/>
      <c r="R259" s="147"/>
      <c r="S259" s="147"/>
      <c r="T259" s="147"/>
      <c r="U259" s="147"/>
      <c r="V259" s="147"/>
      <c r="W259" s="147"/>
      <c r="X259" s="147"/>
      <c r="Y259" s="147"/>
      <c r="Z259" s="147"/>
      <c r="AA259" s="147"/>
      <c r="AB259" s="147"/>
      <c r="AC259" s="147"/>
      <c r="AD259" s="147"/>
    </row>
    <row r="260" spans="1:30" ht="10.7" customHeight="1">
      <c r="A260" s="161"/>
      <c r="B260" s="150"/>
      <c r="C260" s="149"/>
      <c r="D260" s="149"/>
      <c r="E260" s="147"/>
      <c r="F260" s="163"/>
      <c r="G260" s="147"/>
      <c r="H260" s="147"/>
      <c r="I260" s="156"/>
      <c r="J260" s="156"/>
      <c r="K260" s="147"/>
      <c r="L260" s="147"/>
      <c r="M260" s="147"/>
      <c r="N260" s="147"/>
      <c r="O260" s="147"/>
      <c r="P260" s="147"/>
      <c r="Q260" s="147"/>
      <c r="R260" s="147"/>
      <c r="S260" s="147"/>
      <c r="T260" s="147"/>
      <c r="U260" s="147"/>
      <c r="V260" s="147"/>
      <c r="W260" s="147"/>
      <c r="X260" s="147"/>
      <c r="Y260" s="147"/>
      <c r="Z260" s="147"/>
      <c r="AA260" s="147"/>
      <c r="AB260" s="147"/>
      <c r="AC260" s="147"/>
      <c r="AD260" s="147"/>
    </row>
    <row r="261" spans="1:30" ht="10.7" customHeight="1">
      <c r="A261" s="161"/>
      <c r="B261" s="150"/>
      <c r="C261" s="149"/>
      <c r="D261" s="149"/>
      <c r="E261" s="147"/>
      <c r="F261" s="164"/>
      <c r="G261" s="147"/>
      <c r="H261" s="147"/>
      <c r="I261" s="161"/>
      <c r="J261" s="161"/>
      <c r="K261" s="147"/>
      <c r="L261" s="147"/>
      <c r="M261" s="147"/>
      <c r="N261" s="147"/>
      <c r="O261" s="147"/>
      <c r="P261" s="147"/>
      <c r="Q261" s="147"/>
      <c r="R261" s="147"/>
      <c r="S261" s="147"/>
      <c r="T261" s="147"/>
      <c r="U261" s="147"/>
      <c r="V261" s="147"/>
      <c r="W261" s="147"/>
      <c r="X261" s="147"/>
      <c r="Y261" s="147"/>
      <c r="Z261" s="147"/>
      <c r="AA261" s="147"/>
      <c r="AB261" s="147"/>
      <c r="AC261" s="147"/>
      <c r="AD261" s="147"/>
    </row>
    <row r="262" spans="1:30" ht="15.2" customHeight="1">
      <c r="A262" s="156"/>
      <c r="B262" s="165"/>
      <c r="C262" s="149"/>
      <c r="D262" s="149"/>
      <c r="E262" s="147"/>
      <c r="F262" s="164"/>
      <c r="G262" s="147"/>
      <c r="H262" s="147"/>
      <c r="I262" s="161"/>
      <c r="J262" s="161"/>
      <c r="K262" s="147"/>
      <c r="L262" s="147"/>
      <c r="M262" s="147"/>
      <c r="N262" s="147"/>
      <c r="O262" s="147"/>
      <c r="P262" s="147"/>
      <c r="Q262" s="147"/>
      <c r="R262" s="147"/>
      <c r="S262" s="147"/>
      <c r="T262" s="147"/>
      <c r="U262" s="147"/>
      <c r="V262" s="147"/>
      <c r="W262" s="147"/>
      <c r="X262" s="147"/>
      <c r="Y262" s="147"/>
      <c r="Z262" s="147"/>
      <c r="AA262" s="147"/>
      <c r="AB262" s="147"/>
      <c r="AC262" s="147"/>
      <c r="AD262" s="147"/>
    </row>
    <row r="263" spans="1:30" ht="10.7" customHeight="1">
      <c r="A263" s="161"/>
      <c r="B263" s="150"/>
      <c r="C263" s="149"/>
      <c r="D263" s="149"/>
      <c r="E263" s="147"/>
      <c r="F263" s="147"/>
      <c r="G263" s="149"/>
      <c r="H263" s="149"/>
      <c r="I263" s="156"/>
      <c r="J263" s="156"/>
      <c r="K263" s="147"/>
      <c r="L263" s="147"/>
      <c r="M263" s="147"/>
      <c r="N263" s="147"/>
      <c r="O263" s="147"/>
      <c r="P263" s="147"/>
      <c r="Q263" s="147"/>
      <c r="R263" s="147"/>
      <c r="S263" s="147"/>
      <c r="T263" s="147"/>
      <c r="U263" s="147"/>
      <c r="V263" s="147"/>
      <c r="W263" s="147"/>
      <c r="X263" s="147"/>
      <c r="Y263" s="147"/>
      <c r="Z263" s="147"/>
      <c r="AA263" s="147"/>
      <c r="AB263" s="147"/>
      <c r="AC263" s="147"/>
      <c r="AD263" s="147"/>
    </row>
    <row r="264" spans="1:30" ht="10.7" customHeight="1">
      <c r="A264" s="161"/>
      <c r="B264" s="150"/>
      <c r="C264" s="149"/>
      <c r="D264" s="149"/>
      <c r="E264" s="147"/>
      <c r="F264" s="147"/>
      <c r="G264" s="147"/>
      <c r="H264" s="147"/>
      <c r="I264" s="161"/>
      <c r="J264" s="161"/>
      <c r="K264" s="147"/>
      <c r="L264" s="147"/>
      <c r="M264" s="147"/>
      <c r="N264" s="147"/>
      <c r="O264" s="147"/>
      <c r="P264" s="147"/>
      <c r="Q264" s="147"/>
      <c r="R264" s="147"/>
      <c r="S264" s="147"/>
      <c r="T264" s="147"/>
      <c r="U264" s="147"/>
      <c r="V264" s="147"/>
      <c r="W264" s="147"/>
      <c r="X264" s="147"/>
      <c r="Y264" s="147"/>
      <c r="Z264" s="147"/>
      <c r="AA264" s="147"/>
      <c r="AB264" s="147"/>
      <c r="AC264" s="147"/>
      <c r="AD264" s="147"/>
    </row>
    <row r="265" spans="1:30" ht="10.7" customHeight="1">
      <c r="A265" s="161"/>
      <c r="B265" s="150"/>
      <c r="C265" s="149"/>
      <c r="D265" s="149"/>
      <c r="E265" s="147"/>
      <c r="F265" s="147"/>
      <c r="G265" s="147"/>
      <c r="H265" s="147"/>
      <c r="I265" s="161"/>
      <c r="J265" s="161"/>
      <c r="K265" s="147"/>
      <c r="L265" s="147"/>
      <c r="M265" s="147"/>
      <c r="N265" s="147"/>
      <c r="O265" s="147"/>
      <c r="P265" s="147"/>
      <c r="Q265" s="147"/>
      <c r="R265" s="147"/>
      <c r="S265" s="147"/>
      <c r="T265" s="147"/>
      <c r="U265" s="147"/>
      <c r="V265" s="147"/>
      <c r="W265" s="147"/>
      <c r="X265" s="147"/>
      <c r="Y265" s="147"/>
      <c r="Z265" s="147"/>
      <c r="AA265" s="147"/>
      <c r="AB265" s="147"/>
      <c r="AC265" s="147"/>
      <c r="AD265" s="147"/>
    </row>
    <row r="266" spans="1:30" ht="10.7" customHeight="1">
      <c r="A266" s="156"/>
      <c r="B266" s="150"/>
      <c r="C266" s="159"/>
      <c r="D266" s="159"/>
      <c r="E266" s="147"/>
      <c r="F266" s="147"/>
      <c r="G266" s="147"/>
      <c r="H266" s="147"/>
      <c r="I266" s="161"/>
      <c r="J266" s="161"/>
      <c r="K266" s="147"/>
      <c r="L266" s="147"/>
      <c r="M266" s="147"/>
      <c r="N266" s="147"/>
      <c r="O266" s="147"/>
      <c r="P266" s="147"/>
      <c r="Q266" s="147"/>
      <c r="R266" s="147"/>
      <c r="S266" s="147"/>
      <c r="T266" s="147"/>
      <c r="U266" s="147"/>
      <c r="V266" s="147"/>
      <c r="W266" s="147"/>
      <c r="X266" s="147"/>
      <c r="Y266" s="147"/>
      <c r="Z266" s="147"/>
      <c r="AA266" s="147"/>
      <c r="AB266" s="147"/>
      <c r="AC266" s="147"/>
      <c r="AD266" s="147"/>
    </row>
    <row r="267" spans="1:30" ht="10.7" customHeight="1">
      <c r="A267" s="161"/>
      <c r="B267" s="150"/>
      <c r="C267" s="159"/>
      <c r="D267" s="159"/>
      <c r="E267" s="147"/>
      <c r="F267" s="147"/>
      <c r="G267" s="147"/>
      <c r="H267" s="147"/>
      <c r="I267" s="156"/>
      <c r="J267" s="156"/>
      <c r="K267" s="147"/>
      <c r="L267" s="147"/>
      <c r="M267" s="147"/>
      <c r="N267" s="147"/>
      <c r="O267" s="147"/>
      <c r="P267" s="147"/>
      <c r="Q267" s="147"/>
      <c r="R267" s="147"/>
      <c r="S267" s="147"/>
      <c r="T267" s="147"/>
      <c r="U267" s="147"/>
      <c r="V267" s="147"/>
      <c r="W267" s="147"/>
      <c r="X267" s="147"/>
      <c r="Y267" s="147"/>
      <c r="Z267" s="147"/>
      <c r="AA267" s="147"/>
      <c r="AB267" s="147"/>
      <c r="AC267" s="147"/>
      <c r="AD267" s="147"/>
    </row>
    <row r="268" spans="1:30" ht="10.7" customHeight="1">
      <c r="A268" s="161"/>
      <c r="B268" s="147"/>
      <c r="C268" s="159"/>
      <c r="D268" s="159"/>
      <c r="E268" s="147"/>
      <c r="F268" s="147"/>
      <c r="G268" s="147"/>
      <c r="H268" s="147"/>
      <c r="I268" s="161"/>
      <c r="J268" s="161"/>
      <c r="K268" s="147"/>
      <c r="L268" s="147"/>
      <c r="M268" s="147"/>
      <c r="N268" s="147"/>
      <c r="O268" s="147"/>
      <c r="P268" s="147"/>
      <c r="Q268" s="147"/>
      <c r="R268" s="147"/>
      <c r="S268" s="147"/>
      <c r="T268" s="147"/>
      <c r="U268" s="147"/>
      <c r="V268" s="147"/>
      <c r="W268" s="147"/>
      <c r="X268" s="147"/>
      <c r="Y268" s="147"/>
      <c r="Z268" s="147"/>
      <c r="AA268" s="147"/>
      <c r="AB268" s="147"/>
      <c r="AC268" s="147"/>
      <c r="AD268" s="147"/>
    </row>
    <row r="269" spans="1:30" ht="10.7" customHeight="1">
      <c r="A269" s="156"/>
      <c r="B269" s="147"/>
      <c r="C269" s="159"/>
      <c r="D269" s="159"/>
      <c r="E269" s="147"/>
      <c r="F269" s="147"/>
      <c r="G269" s="147"/>
      <c r="H269" s="147"/>
      <c r="I269" s="161"/>
      <c r="J269" s="161"/>
      <c r="K269" s="147"/>
      <c r="L269" s="147"/>
      <c r="M269" s="147"/>
      <c r="N269" s="147"/>
      <c r="O269" s="147"/>
      <c r="P269" s="147"/>
      <c r="Q269" s="147"/>
      <c r="R269" s="147"/>
      <c r="S269" s="147"/>
      <c r="T269" s="147"/>
      <c r="U269" s="147"/>
      <c r="V269" s="147"/>
      <c r="W269" s="147"/>
      <c r="X269" s="147"/>
      <c r="Y269" s="147"/>
      <c r="Z269" s="147"/>
      <c r="AA269" s="147"/>
      <c r="AB269" s="147"/>
      <c r="AC269" s="147"/>
      <c r="AD269" s="147"/>
    </row>
    <row r="270" spans="1:30" ht="10.7" customHeight="1">
      <c r="A270" s="156"/>
      <c r="B270" s="147"/>
      <c r="C270" s="159"/>
      <c r="D270" s="159"/>
      <c r="E270" s="147"/>
      <c r="F270" s="147"/>
      <c r="G270" s="147"/>
      <c r="H270" s="147"/>
      <c r="I270" s="156"/>
      <c r="J270" s="156"/>
      <c r="K270" s="147"/>
      <c r="L270" s="147"/>
      <c r="M270" s="147"/>
      <c r="N270" s="147"/>
      <c r="O270" s="147"/>
      <c r="P270" s="147"/>
      <c r="Q270" s="147"/>
      <c r="R270" s="147"/>
      <c r="S270" s="147"/>
      <c r="T270" s="147"/>
      <c r="U270" s="147"/>
      <c r="V270" s="147"/>
      <c r="W270" s="147"/>
      <c r="X270" s="147"/>
      <c r="Y270" s="147"/>
      <c r="Z270" s="147"/>
      <c r="AA270" s="147"/>
      <c r="AB270" s="147"/>
      <c r="AC270" s="147"/>
      <c r="AD270" s="147"/>
    </row>
    <row r="271" spans="1:30" ht="10.7" customHeight="1">
      <c r="A271" s="156"/>
      <c r="B271" s="147"/>
      <c r="C271" s="159"/>
      <c r="D271" s="159"/>
      <c r="E271" s="147"/>
      <c r="F271" s="160"/>
      <c r="G271" s="147"/>
      <c r="H271" s="147"/>
      <c r="I271" s="156"/>
      <c r="J271" s="156"/>
      <c r="K271" s="147"/>
      <c r="L271" s="147"/>
      <c r="M271" s="147"/>
      <c r="N271" s="147"/>
      <c r="O271" s="147"/>
      <c r="P271" s="147"/>
      <c r="Q271" s="147"/>
      <c r="R271" s="147"/>
      <c r="S271" s="147"/>
      <c r="T271" s="147"/>
      <c r="U271" s="147"/>
      <c r="V271" s="147"/>
      <c r="W271" s="147"/>
      <c r="X271" s="147"/>
      <c r="Y271" s="147"/>
      <c r="Z271" s="147"/>
      <c r="AA271" s="147"/>
      <c r="AB271" s="147"/>
      <c r="AC271" s="147"/>
      <c r="AD271" s="147"/>
    </row>
    <row r="272" spans="1:30" ht="10.7" customHeight="1">
      <c r="A272" s="156"/>
      <c r="B272" s="147"/>
      <c r="C272" s="159"/>
      <c r="D272" s="159"/>
      <c r="E272" s="147"/>
      <c r="F272" s="158"/>
      <c r="G272" s="147"/>
      <c r="H272" s="147"/>
      <c r="I272" s="156"/>
      <c r="J272" s="156"/>
      <c r="K272" s="147"/>
      <c r="L272" s="147"/>
      <c r="M272" s="147"/>
      <c r="N272" s="147"/>
      <c r="O272" s="147"/>
      <c r="P272" s="147"/>
      <c r="Q272" s="147"/>
      <c r="R272" s="147"/>
      <c r="S272" s="147"/>
      <c r="T272" s="147"/>
      <c r="U272" s="147"/>
      <c r="V272" s="147"/>
      <c r="W272" s="147"/>
      <c r="X272" s="147"/>
      <c r="Y272" s="147"/>
      <c r="Z272" s="147"/>
      <c r="AA272" s="147"/>
      <c r="AB272" s="147"/>
      <c r="AC272" s="147"/>
      <c r="AD272" s="147"/>
    </row>
    <row r="273" spans="1:30" ht="10.7" customHeight="1">
      <c r="A273" s="156"/>
      <c r="B273" s="147"/>
      <c r="C273" s="149"/>
      <c r="D273" s="149"/>
      <c r="E273" s="147"/>
      <c r="F273" s="158"/>
      <c r="G273" s="147"/>
      <c r="H273" s="147"/>
      <c r="I273" s="156"/>
      <c r="J273" s="156"/>
      <c r="K273" s="147"/>
      <c r="L273" s="147"/>
      <c r="M273" s="147"/>
      <c r="N273" s="147"/>
      <c r="O273" s="147"/>
      <c r="P273" s="147"/>
      <c r="Q273" s="147"/>
      <c r="R273" s="147"/>
      <c r="S273" s="147"/>
      <c r="T273" s="147"/>
      <c r="U273" s="147"/>
      <c r="V273" s="147"/>
      <c r="W273" s="147"/>
      <c r="X273" s="147"/>
      <c r="Y273" s="147"/>
      <c r="Z273" s="147"/>
      <c r="AA273" s="147"/>
      <c r="AB273" s="147"/>
      <c r="AC273" s="147"/>
      <c r="AD273" s="147"/>
    </row>
    <row r="274" spans="1:30" ht="10.7" customHeight="1">
      <c r="A274" s="161"/>
      <c r="B274" s="147"/>
      <c r="C274" s="159"/>
      <c r="D274" s="159"/>
      <c r="E274" s="160"/>
      <c r="F274" s="163"/>
      <c r="G274" s="147"/>
      <c r="H274" s="147"/>
      <c r="I274" s="156"/>
      <c r="J274" s="156"/>
      <c r="K274" s="147"/>
      <c r="L274" s="147"/>
      <c r="M274" s="147"/>
      <c r="N274" s="147"/>
      <c r="O274" s="147"/>
      <c r="P274" s="147"/>
      <c r="Q274" s="147"/>
      <c r="R274" s="147"/>
      <c r="S274" s="147"/>
      <c r="T274" s="147"/>
      <c r="U274" s="147"/>
      <c r="V274" s="147"/>
      <c r="W274" s="147"/>
      <c r="X274" s="147"/>
      <c r="Y274" s="147"/>
      <c r="Z274" s="147"/>
      <c r="AA274" s="147"/>
      <c r="AB274" s="147"/>
      <c r="AC274" s="147"/>
      <c r="AD274" s="147"/>
    </row>
    <row r="275" spans="1:30" ht="10.7" customHeight="1">
      <c r="A275" s="161"/>
      <c r="B275" s="147"/>
      <c r="C275" s="159"/>
      <c r="D275" s="159"/>
      <c r="E275" s="147"/>
      <c r="F275" s="162"/>
      <c r="G275" s="147"/>
      <c r="H275" s="147"/>
      <c r="I275" s="161"/>
      <c r="J275" s="161"/>
      <c r="K275" s="147"/>
      <c r="L275" s="147"/>
      <c r="M275" s="147"/>
      <c r="N275" s="147"/>
      <c r="O275" s="147"/>
      <c r="P275" s="147"/>
      <c r="Q275" s="147"/>
      <c r="R275" s="147"/>
      <c r="S275" s="147"/>
      <c r="T275" s="147"/>
      <c r="U275" s="147"/>
      <c r="V275" s="147"/>
      <c r="W275" s="147"/>
      <c r="X275" s="147"/>
      <c r="Y275" s="147"/>
      <c r="Z275" s="147"/>
      <c r="AA275" s="147"/>
      <c r="AB275" s="147"/>
      <c r="AC275" s="147"/>
      <c r="AD275" s="147"/>
    </row>
    <row r="276" spans="1:30" ht="10.7" customHeight="1">
      <c r="A276" s="161"/>
      <c r="B276" s="147"/>
      <c r="C276" s="159"/>
      <c r="D276" s="159"/>
      <c r="E276" s="147"/>
      <c r="F276" s="160"/>
      <c r="G276" s="147"/>
      <c r="H276" s="147"/>
      <c r="I276" s="161"/>
      <c r="J276" s="161"/>
      <c r="K276" s="147"/>
      <c r="L276" s="147"/>
      <c r="M276" s="147"/>
      <c r="N276" s="147"/>
      <c r="O276" s="147"/>
      <c r="P276" s="147"/>
      <c r="Q276" s="147"/>
      <c r="R276" s="147"/>
      <c r="S276" s="147"/>
      <c r="T276" s="147"/>
      <c r="U276" s="147"/>
      <c r="V276" s="147"/>
      <c r="W276" s="147"/>
      <c r="X276" s="147"/>
      <c r="Y276" s="147"/>
      <c r="Z276" s="147"/>
      <c r="AA276" s="147"/>
      <c r="AB276" s="147"/>
      <c r="AC276" s="147"/>
      <c r="AD276" s="147"/>
    </row>
    <row r="277" spans="1:30" ht="10.7" customHeight="1">
      <c r="A277" s="156"/>
      <c r="B277" s="147"/>
      <c r="C277" s="149"/>
      <c r="D277" s="149"/>
      <c r="E277" s="147"/>
      <c r="F277" s="160"/>
      <c r="G277" s="147"/>
      <c r="H277" s="147"/>
      <c r="I277" s="161"/>
      <c r="J277" s="161"/>
      <c r="K277" s="147"/>
      <c r="L277" s="147"/>
      <c r="M277" s="147"/>
      <c r="N277" s="147"/>
      <c r="O277" s="147"/>
      <c r="P277" s="147"/>
      <c r="Q277" s="147"/>
      <c r="R277" s="147"/>
      <c r="S277" s="147"/>
      <c r="T277" s="147"/>
      <c r="U277" s="147"/>
      <c r="V277" s="147"/>
      <c r="W277" s="147"/>
      <c r="X277" s="147"/>
      <c r="Y277" s="147"/>
      <c r="Z277" s="147"/>
      <c r="AA277" s="147"/>
      <c r="AB277" s="147"/>
      <c r="AC277" s="147"/>
      <c r="AD277" s="147"/>
    </row>
    <row r="278" spans="1:30" ht="10.7" customHeight="1">
      <c r="A278" s="161"/>
      <c r="B278" s="147"/>
      <c r="C278" s="159"/>
      <c r="D278" s="159"/>
      <c r="E278" s="147"/>
      <c r="F278" s="147"/>
      <c r="G278" s="157"/>
      <c r="H278" s="157"/>
      <c r="I278" s="156"/>
      <c r="J278" s="156"/>
      <c r="K278" s="147"/>
      <c r="L278" s="147"/>
      <c r="M278" s="147"/>
      <c r="N278" s="147"/>
      <c r="O278" s="147"/>
      <c r="P278" s="147"/>
      <c r="Q278" s="147"/>
      <c r="R278" s="147"/>
      <c r="S278" s="147"/>
      <c r="T278" s="147"/>
      <c r="U278" s="147"/>
      <c r="V278" s="147"/>
      <c r="W278" s="147"/>
      <c r="X278" s="147"/>
      <c r="Y278" s="147"/>
      <c r="Z278" s="147"/>
      <c r="AA278" s="147"/>
      <c r="AB278" s="147"/>
      <c r="AC278" s="147"/>
      <c r="AD278" s="147"/>
    </row>
    <row r="279" spans="1:30" ht="10.7" customHeight="1">
      <c r="A279" s="156"/>
      <c r="B279" s="147"/>
      <c r="C279" s="149"/>
      <c r="D279" s="149"/>
      <c r="E279" s="147"/>
      <c r="F279" s="160"/>
      <c r="G279" s="157"/>
      <c r="H279" s="157"/>
      <c r="I279" s="161"/>
      <c r="J279" s="161"/>
      <c r="K279" s="147"/>
      <c r="L279" s="147"/>
      <c r="M279" s="147"/>
      <c r="N279" s="147"/>
      <c r="O279" s="147"/>
      <c r="P279" s="147"/>
      <c r="Q279" s="147"/>
      <c r="R279" s="147"/>
      <c r="S279" s="147"/>
      <c r="T279" s="147"/>
      <c r="U279" s="147"/>
      <c r="V279" s="147"/>
      <c r="W279" s="147"/>
      <c r="X279" s="147"/>
      <c r="Y279" s="147"/>
      <c r="Z279" s="147"/>
      <c r="AA279" s="147"/>
      <c r="AB279" s="147"/>
      <c r="AC279" s="147"/>
      <c r="AD279" s="147"/>
    </row>
    <row r="280" spans="1:30" ht="10.7" customHeight="1">
      <c r="A280" s="156"/>
      <c r="B280" s="147"/>
      <c r="C280" s="159"/>
      <c r="D280" s="159"/>
      <c r="E280" s="147"/>
      <c r="F280" s="147"/>
      <c r="G280" s="147"/>
      <c r="H280" s="147"/>
      <c r="I280" s="156"/>
      <c r="J280" s="156"/>
      <c r="K280" s="147"/>
      <c r="L280" s="147"/>
      <c r="M280" s="147"/>
      <c r="N280" s="147"/>
      <c r="O280" s="147"/>
      <c r="P280" s="147"/>
      <c r="Q280" s="147"/>
      <c r="R280" s="147"/>
      <c r="S280" s="147"/>
      <c r="T280" s="147"/>
      <c r="U280" s="147"/>
      <c r="V280" s="147"/>
      <c r="W280" s="147"/>
      <c r="X280" s="147"/>
      <c r="Y280" s="147"/>
      <c r="Z280" s="147"/>
      <c r="AA280" s="147"/>
      <c r="AB280" s="147"/>
      <c r="AC280" s="147"/>
      <c r="AD280" s="147"/>
    </row>
    <row r="281" spans="1:30" ht="10.7" customHeight="1">
      <c r="A281" s="156"/>
      <c r="B281" s="147"/>
      <c r="C281" s="159"/>
      <c r="D281" s="159"/>
      <c r="E281" s="147"/>
      <c r="F281" s="160"/>
      <c r="G281" s="157"/>
      <c r="H281" s="157"/>
      <c r="I281" s="156"/>
      <c r="J281" s="156"/>
      <c r="K281" s="147"/>
      <c r="L281" s="147"/>
      <c r="M281" s="147"/>
      <c r="N281" s="147"/>
      <c r="O281" s="147"/>
      <c r="P281" s="147"/>
      <c r="Q281" s="147"/>
      <c r="R281" s="147"/>
      <c r="S281" s="147"/>
      <c r="T281" s="147"/>
      <c r="U281" s="147"/>
      <c r="V281" s="147"/>
      <c r="W281" s="147"/>
      <c r="X281" s="147"/>
      <c r="Y281" s="147"/>
      <c r="Z281" s="147"/>
      <c r="AA281" s="147"/>
      <c r="AB281" s="147"/>
      <c r="AC281" s="147"/>
      <c r="AD281" s="147"/>
    </row>
    <row r="282" spans="1:30" ht="10.7" customHeight="1">
      <c r="A282" s="156"/>
      <c r="B282" s="147"/>
      <c r="C282" s="159"/>
      <c r="D282" s="159"/>
      <c r="E282" s="147"/>
      <c r="F282" s="158"/>
      <c r="G282" s="157"/>
      <c r="H282" s="157"/>
      <c r="I282" s="156"/>
      <c r="J282" s="156"/>
      <c r="K282" s="147"/>
      <c r="L282" s="147"/>
      <c r="M282" s="147"/>
      <c r="N282" s="147"/>
      <c r="O282" s="147"/>
      <c r="P282" s="147"/>
      <c r="Q282" s="147"/>
      <c r="R282" s="147"/>
      <c r="S282" s="147"/>
      <c r="T282" s="147"/>
      <c r="U282" s="147"/>
      <c r="V282" s="147"/>
      <c r="W282" s="147"/>
      <c r="X282" s="147"/>
      <c r="Y282" s="147"/>
      <c r="Z282" s="147"/>
      <c r="AA282" s="147"/>
      <c r="AB282" s="147"/>
      <c r="AC282" s="147"/>
      <c r="AD282" s="147"/>
    </row>
    <row r="283" spans="1:30" ht="10.7" customHeight="1">
      <c r="A283" s="151"/>
      <c r="B283" s="150"/>
      <c r="C283" s="149"/>
      <c r="D283" s="149"/>
      <c r="E283" s="147"/>
      <c r="F283" s="158"/>
      <c r="G283" s="157"/>
      <c r="H283" s="157"/>
      <c r="I283" s="156"/>
      <c r="J283" s="156"/>
      <c r="K283" s="147"/>
      <c r="L283" s="147"/>
      <c r="M283" s="147"/>
      <c r="N283" s="147"/>
      <c r="O283" s="147"/>
      <c r="P283" s="147"/>
      <c r="Q283" s="147"/>
      <c r="R283" s="147"/>
      <c r="S283" s="147"/>
      <c r="T283" s="147"/>
      <c r="U283" s="147"/>
      <c r="V283" s="147"/>
      <c r="W283" s="147"/>
      <c r="X283" s="147"/>
      <c r="Y283" s="147"/>
      <c r="Z283" s="147"/>
      <c r="AA283" s="147"/>
      <c r="AB283" s="147"/>
      <c r="AC283" s="147"/>
      <c r="AD283" s="147"/>
    </row>
    <row r="284" spans="1:30" ht="10.7" customHeight="1">
      <c r="A284" s="154"/>
      <c r="B284" s="147"/>
      <c r="C284" s="149"/>
      <c r="D284" s="149"/>
      <c r="E284" s="147"/>
      <c r="F284" s="155"/>
      <c r="G284" s="147"/>
      <c r="H284" s="147"/>
      <c r="I284" s="151"/>
      <c r="J284" s="151"/>
      <c r="K284" s="147"/>
      <c r="L284" s="155"/>
      <c r="M284" s="147"/>
      <c r="N284" s="147"/>
      <c r="O284" s="147"/>
      <c r="P284" s="147"/>
      <c r="Q284" s="147"/>
      <c r="R284" s="147"/>
      <c r="S284" s="147"/>
      <c r="T284" s="147"/>
      <c r="U284" s="147"/>
      <c r="V284" s="147"/>
      <c r="W284" s="147"/>
      <c r="X284" s="147"/>
      <c r="Y284" s="147"/>
      <c r="Z284" s="147"/>
      <c r="AA284" s="147"/>
      <c r="AB284" s="147"/>
      <c r="AC284" s="147"/>
      <c r="AD284" s="147"/>
    </row>
    <row r="285" spans="1:30" ht="10.7" customHeight="1">
      <c r="A285" s="154"/>
      <c r="B285" s="147"/>
      <c r="C285" s="149"/>
      <c r="D285" s="149"/>
      <c r="E285" s="147"/>
      <c r="F285" s="147"/>
      <c r="G285" s="153"/>
      <c r="H285" s="153"/>
      <c r="I285" s="154"/>
      <c r="J285" s="154"/>
      <c r="K285" s="154"/>
      <c r="L285" s="147"/>
      <c r="M285" s="153"/>
      <c r="N285" s="147"/>
      <c r="O285" s="147"/>
      <c r="P285" s="147"/>
      <c r="Q285" s="147"/>
      <c r="R285" s="147"/>
      <c r="S285" s="147"/>
      <c r="T285" s="147"/>
      <c r="U285" s="147"/>
      <c r="V285" s="147"/>
      <c r="W285" s="147"/>
      <c r="X285" s="147"/>
      <c r="Y285" s="147"/>
      <c r="Z285" s="147"/>
      <c r="AA285" s="147"/>
      <c r="AB285" s="147"/>
      <c r="AC285" s="147"/>
      <c r="AD285" s="147"/>
    </row>
    <row r="286" spans="1:30" ht="10.7" customHeight="1">
      <c r="A286" s="154"/>
      <c r="B286" s="147"/>
      <c r="C286" s="149"/>
      <c r="D286" s="149"/>
      <c r="E286" s="147"/>
      <c r="F286" s="147"/>
      <c r="G286" s="147"/>
      <c r="H286" s="147"/>
      <c r="I286" s="154"/>
      <c r="J286" s="154"/>
      <c r="K286" s="154"/>
      <c r="L286" s="147"/>
      <c r="M286" s="147"/>
      <c r="N286" s="147"/>
      <c r="O286" s="147"/>
      <c r="P286" s="147"/>
      <c r="Q286" s="147"/>
      <c r="R286" s="147"/>
      <c r="S286" s="147"/>
      <c r="T286" s="147"/>
      <c r="U286" s="147"/>
      <c r="V286" s="147"/>
      <c r="W286" s="147"/>
      <c r="X286" s="147"/>
      <c r="Y286" s="147"/>
      <c r="Z286" s="147"/>
      <c r="AA286" s="147"/>
      <c r="AB286" s="147"/>
      <c r="AC286" s="147"/>
      <c r="AD286" s="147"/>
    </row>
    <row r="287" spans="1:30" ht="10.7" customHeight="1">
      <c r="A287" s="154"/>
      <c r="B287" s="147"/>
      <c r="C287" s="149"/>
      <c r="D287" s="149"/>
      <c r="E287" s="147"/>
      <c r="F287" s="147"/>
      <c r="G287" s="147"/>
      <c r="H287" s="147"/>
      <c r="I287" s="154"/>
      <c r="J287" s="154"/>
      <c r="K287" s="154"/>
      <c r="L287" s="147"/>
      <c r="M287" s="147"/>
      <c r="N287" s="147"/>
      <c r="O287" s="147"/>
      <c r="P287" s="147"/>
      <c r="Q287" s="147"/>
      <c r="R287" s="147"/>
      <c r="S287" s="147"/>
      <c r="T287" s="147"/>
      <c r="U287" s="147"/>
      <c r="V287" s="147"/>
      <c r="W287" s="147"/>
      <c r="X287" s="147"/>
      <c r="Y287" s="147"/>
      <c r="Z287" s="147"/>
      <c r="AA287" s="147"/>
      <c r="AB287" s="147"/>
      <c r="AC287" s="147"/>
      <c r="AD287" s="147"/>
    </row>
    <row r="288" spans="1:30" ht="10.7" customHeight="1">
      <c r="A288" s="152"/>
      <c r="B288" s="147"/>
      <c r="C288" s="149"/>
      <c r="D288" s="149"/>
      <c r="E288" s="147"/>
      <c r="F288" s="147"/>
      <c r="G288" s="147"/>
      <c r="H288" s="147"/>
      <c r="I288" s="154"/>
      <c r="J288" s="154"/>
      <c r="K288" s="154"/>
      <c r="L288" s="147"/>
      <c r="M288" s="147"/>
      <c r="N288" s="147"/>
      <c r="O288" s="147"/>
      <c r="P288" s="147"/>
      <c r="Q288" s="147"/>
      <c r="R288" s="147"/>
      <c r="S288" s="147"/>
      <c r="T288" s="147"/>
      <c r="U288" s="147"/>
      <c r="V288" s="147"/>
      <c r="W288" s="147"/>
      <c r="X288" s="147"/>
      <c r="Y288" s="147"/>
      <c r="Z288" s="147"/>
      <c r="AA288" s="147"/>
      <c r="AB288" s="147"/>
      <c r="AC288" s="147"/>
      <c r="AD288" s="147"/>
    </row>
    <row r="289" spans="1:30" ht="10.7" customHeight="1">
      <c r="A289" s="152"/>
      <c r="B289" s="147"/>
      <c r="C289" s="149"/>
      <c r="D289" s="149"/>
      <c r="E289" s="147"/>
      <c r="F289" s="147"/>
      <c r="G289" s="153"/>
      <c r="H289" s="153"/>
      <c r="I289" s="152"/>
      <c r="J289" s="152"/>
      <c r="K289" s="152"/>
      <c r="L289" s="147"/>
      <c r="M289" s="153"/>
      <c r="N289" s="147"/>
      <c r="O289" s="147"/>
      <c r="P289" s="147"/>
      <c r="Q289" s="147"/>
      <c r="R289" s="147"/>
      <c r="S289" s="147"/>
      <c r="T289" s="147"/>
      <c r="U289" s="147"/>
      <c r="V289" s="147"/>
      <c r="W289" s="147"/>
      <c r="X289" s="147"/>
      <c r="Y289" s="147"/>
      <c r="Z289" s="147"/>
      <c r="AA289" s="147"/>
      <c r="AB289" s="147"/>
      <c r="AC289" s="147"/>
      <c r="AD289" s="147"/>
    </row>
    <row r="290" spans="1:30" ht="10.7" customHeight="1">
      <c r="A290" s="148"/>
      <c r="B290" s="150"/>
      <c r="C290" s="149"/>
      <c r="D290" s="149"/>
      <c r="E290" s="147"/>
      <c r="F290" s="147"/>
      <c r="G290" s="153"/>
      <c r="H290" s="153"/>
      <c r="I290" s="152"/>
      <c r="J290" s="152"/>
      <c r="K290" s="147"/>
      <c r="L290" s="151"/>
      <c r="M290" s="147"/>
      <c r="N290" s="147"/>
      <c r="O290" s="147"/>
      <c r="P290" s="147"/>
      <c r="Q290" s="147"/>
      <c r="R290" s="147"/>
      <c r="S290" s="147"/>
      <c r="T290" s="147"/>
      <c r="U290" s="147"/>
      <c r="V290" s="147"/>
      <c r="W290" s="147"/>
      <c r="X290" s="147"/>
      <c r="Y290" s="147"/>
      <c r="Z290" s="147"/>
      <c r="AA290" s="147"/>
      <c r="AB290" s="147"/>
      <c r="AC290" s="147"/>
      <c r="AD290" s="147"/>
    </row>
    <row r="291" spans="1:30" ht="10.7" customHeight="1">
      <c r="A291" s="148"/>
      <c r="B291" s="147"/>
      <c r="C291" s="149"/>
      <c r="D291" s="149"/>
      <c r="E291" s="147"/>
      <c r="F291" s="147"/>
      <c r="G291" s="147"/>
      <c r="H291" s="147"/>
      <c r="I291" s="148"/>
      <c r="J291" s="148"/>
      <c r="K291" s="147"/>
      <c r="L291" s="147"/>
      <c r="M291" s="147"/>
      <c r="N291" s="147"/>
      <c r="O291" s="147"/>
      <c r="P291" s="147"/>
      <c r="Q291" s="147"/>
      <c r="R291" s="147"/>
      <c r="S291" s="147"/>
      <c r="T291" s="147"/>
      <c r="U291" s="147"/>
      <c r="V291" s="147"/>
      <c r="W291" s="147"/>
      <c r="X291" s="147"/>
      <c r="Y291" s="147"/>
      <c r="Z291" s="147"/>
      <c r="AA291" s="147"/>
      <c r="AB291" s="147"/>
      <c r="AC291" s="147"/>
      <c r="AD291" s="147"/>
    </row>
    <row r="292" spans="1:30" ht="10.7" customHeight="1">
      <c r="A292" s="148"/>
      <c r="B292" s="147"/>
      <c r="C292" s="149"/>
      <c r="D292" s="149"/>
      <c r="E292" s="147"/>
      <c r="F292" s="147"/>
      <c r="G292" s="147"/>
      <c r="H292" s="147"/>
      <c r="I292" s="148"/>
      <c r="J292" s="148"/>
      <c r="K292" s="147"/>
      <c r="L292" s="147"/>
      <c r="M292" s="147"/>
      <c r="N292" s="147"/>
      <c r="O292" s="147"/>
      <c r="P292" s="147"/>
      <c r="Q292" s="147"/>
      <c r="R292" s="147"/>
      <c r="S292" s="147"/>
      <c r="T292" s="147"/>
      <c r="U292" s="147"/>
      <c r="V292" s="147"/>
      <c r="W292" s="147"/>
      <c r="X292" s="147"/>
      <c r="Y292" s="147"/>
      <c r="Z292" s="147"/>
      <c r="AA292" s="147"/>
      <c r="AB292" s="147"/>
      <c r="AC292" s="147"/>
      <c r="AD292" s="147"/>
    </row>
    <row r="293" spans="1:30" ht="10.7" customHeight="1">
      <c r="A293" s="148"/>
      <c r="B293" s="150"/>
      <c r="C293" s="149"/>
      <c r="D293" s="149"/>
      <c r="E293" s="147"/>
      <c r="F293" s="147"/>
      <c r="G293" s="147"/>
      <c r="H293" s="147"/>
      <c r="I293" s="148"/>
      <c r="J293" s="148"/>
      <c r="K293" s="147"/>
      <c r="L293" s="147"/>
      <c r="M293" s="147"/>
      <c r="N293" s="147"/>
      <c r="O293" s="147"/>
      <c r="P293" s="147"/>
      <c r="Q293" s="147"/>
      <c r="R293" s="147"/>
      <c r="S293" s="147"/>
      <c r="T293" s="147"/>
      <c r="U293" s="147"/>
      <c r="V293" s="147"/>
      <c r="W293" s="147"/>
      <c r="X293" s="147"/>
      <c r="Y293" s="147"/>
      <c r="Z293" s="147"/>
      <c r="AA293" s="147"/>
      <c r="AB293" s="147"/>
      <c r="AC293" s="147"/>
      <c r="AD293" s="147"/>
    </row>
    <row r="294" spans="1:30" ht="10.7" customHeight="1">
      <c r="A294" s="149"/>
      <c r="B294" s="147"/>
      <c r="C294" s="149"/>
      <c r="D294" s="149"/>
      <c r="E294" s="147"/>
      <c r="F294" s="147"/>
      <c r="G294" s="147"/>
      <c r="H294" s="147"/>
      <c r="I294" s="148"/>
      <c r="J294" s="148"/>
      <c r="K294" s="147"/>
      <c r="L294" s="147"/>
      <c r="M294" s="147"/>
      <c r="N294" s="147"/>
      <c r="O294" s="147"/>
      <c r="P294" s="147"/>
      <c r="Q294" s="147"/>
      <c r="R294" s="147"/>
      <c r="S294" s="147"/>
      <c r="T294" s="147"/>
      <c r="U294" s="147"/>
      <c r="V294" s="147"/>
      <c r="W294" s="147"/>
      <c r="X294" s="147"/>
      <c r="Y294" s="147"/>
      <c r="Z294" s="147"/>
      <c r="AA294" s="147"/>
      <c r="AB294" s="147"/>
      <c r="AC294" s="147"/>
      <c r="AD294" s="147"/>
    </row>
  </sheetData>
  <mergeCells count="19">
    <mergeCell ref="D20:D30"/>
    <mergeCell ref="D110:D112"/>
    <mergeCell ref="B2:E2"/>
    <mergeCell ref="I17:K17"/>
    <mergeCell ref="B22:B27"/>
    <mergeCell ref="C22:C29"/>
    <mergeCell ref="A78:A79"/>
    <mergeCell ref="B50:D53"/>
    <mergeCell ref="A33:A34"/>
    <mergeCell ref="A36:A37"/>
    <mergeCell ref="B134:E135"/>
    <mergeCell ref="C93:C97"/>
    <mergeCell ref="C89:C90"/>
    <mergeCell ref="C71:C72"/>
    <mergeCell ref="C83:C86"/>
    <mergeCell ref="E104:E105"/>
    <mergeCell ref="E106:E107"/>
    <mergeCell ref="D88:D89"/>
    <mergeCell ref="B91:B92"/>
  </mergeCells>
  <conditionalFormatting sqref="E20:E30 E59 E63 E104 E106 E114:E123">
    <cfRule type="expression" dxfId="22" priority="7">
      <formula>$E20="DOES NOT COMPLY"</formula>
    </cfRule>
  </conditionalFormatting>
  <conditionalFormatting sqref="E32:E36">
    <cfRule type="expression" dxfId="21" priority="8">
      <formula>$E32="DOES NOT COMPLY"</formula>
    </cfRule>
  </conditionalFormatting>
  <conditionalFormatting sqref="E39:E41">
    <cfRule type="expression" dxfId="20" priority="9">
      <formula>$E39="DOES NOT COMPLY"</formula>
    </cfRule>
  </conditionalFormatting>
  <conditionalFormatting sqref="E47">
    <cfRule type="expression" dxfId="19" priority="10">
      <formula>$E47="DOES NOT COMPLY"</formula>
    </cfRule>
  </conditionalFormatting>
  <conditionalFormatting sqref="E49">
    <cfRule type="expression" dxfId="18" priority="1">
      <formula>$E49="DOES NOT COMPLY"</formula>
    </cfRule>
  </conditionalFormatting>
  <conditionalFormatting sqref="E55">
    <cfRule type="expression" dxfId="17" priority="3">
      <formula>$E55="DOES NOT COMPLY"</formula>
    </cfRule>
  </conditionalFormatting>
  <conditionalFormatting sqref="E70:E72">
    <cfRule type="expression" dxfId="16" priority="12">
      <formula>$E70="DOES NOT COMPLY"</formula>
    </cfRule>
  </conditionalFormatting>
  <conditionalFormatting sqref="E76:E88">
    <cfRule type="expression" dxfId="15" priority="6">
      <formula>$E76="DOES NOT COMPLY"</formula>
    </cfRule>
  </conditionalFormatting>
  <conditionalFormatting sqref="E90:E93">
    <cfRule type="expression" dxfId="14" priority="5">
      <formula>$E90="DOES NOT COMPLY"</formula>
    </cfRule>
  </conditionalFormatting>
  <conditionalFormatting sqref="E110">
    <cfRule type="expression" dxfId="13" priority="4">
      <formula>$E110="DOES NOT COMPLY"</formula>
    </cfRule>
  </conditionalFormatting>
  <pageMargins left="0.25" right="0.25" top="1.5" bottom="0.5" header="0.25" footer="0"/>
  <pageSetup paperSize="32767" fitToHeight="0" orientation="portrait" r:id="rId1"/>
  <headerFooter>
    <oddHeader>&amp;L&amp;"-,Bold"&amp;12
Zoning Analysis for 1760 Jerome Avenue, Bronx
&amp;"-,Regular"Prepared for ACMH&amp;R&amp;36&amp;KFF0000&amp;G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22D0E-D05C-45D6-976F-B7C015BB911C}">
  <sheetPr>
    <pageSetUpPr fitToPage="1"/>
  </sheetPr>
  <dimension ref="A1:AC54"/>
  <sheetViews>
    <sheetView topLeftCell="A13" zoomScaleNormal="100" workbookViewId="0">
      <selection activeCell="D20" sqref="D20"/>
    </sheetView>
  </sheetViews>
  <sheetFormatPr defaultColWidth="9.140625" defaultRowHeight="16.5"/>
  <cols>
    <col min="1" max="1" width="18.140625" style="14" customWidth="1"/>
    <col min="2" max="2" width="18.42578125" style="14" customWidth="1"/>
    <col min="3" max="3" width="14.42578125" style="14" customWidth="1"/>
    <col min="4" max="4" width="21" style="14" customWidth="1"/>
    <col min="5" max="5" width="14.42578125" style="14" customWidth="1"/>
    <col min="6" max="6" width="26.28515625" style="14" customWidth="1"/>
    <col min="7" max="7" width="14.42578125" style="14" customWidth="1"/>
    <col min="8" max="8" width="20.140625" style="14" customWidth="1"/>
    <col min="9" max="11" width="14.42578125" style="14" customWidth="1"/>
    <col min="12" max="12" width="16.28515625" style="14" customWidth="1"/>
    <col min="13" max="18" width="14.42578125" style="14" customWidth="1"/>
    <col min="19" max="19" width="17.7109375" style="14" customWidth="1"/>
    <col min="20" max="20" width="15.5703125" style="14" customWidth="1"/>
    <col min="21" max="21" width="2" style="14" customWidth="1"/>
    <col min="22" max="28" width="8.42578125" style="14" customWidth="1"/>
    <col min="29" max="29" width="9.140625" style="14"/>
    <col min="30" max="30" width="18.28515625" style="14" customWidth="1"/>
    <col min="31" max="31" width="9.140625" style="14"/>
    <col min="32" max="32" width="11.28515625" style="14" customWidth="1"/>
    <col min="33" max="16384" width="9.140625" style="14"/>
  </cols>
  <sheetData>
    <row r="1" spans="1:29" ht="33.200000000000003" customHeight="1" thickBot="1">
      <c r="A1" s="384" t="s">
        <v>199</v>
      </c>
      <c r="B1" s="385"/>
      <c r="C1" s="385"/>
      <c r="D1" s="385"/>
      <c r="E1" s="385"/>
      <c r="F1" s="385"/>
      <c r="G1" s="385"/>
      <c r="H1" s="385"/>
      <c r="I1" s="385"/>
      <c r="J1" s="385"/>
      <c r="K1" s="385"/>
      <c r="L1" s="385"/>
      <c r="M1" s="385"/>
      <c r="N1" s="385"/>
      <c r="O1" s="385"/>
      <c r="P1" s="385"/>
      <c r="Q1" s="385"/>
      <c r="R1" s="385"/>
      <c r="S1" s="385"/>
      <c r="T1" s="386"/>
      <c r="U1" s="44"/>
      <c r="V1" s="373"/>
      <c r="W1" s="373"/>
      <c r="X1" s="373"/>
      <c r="Y1" s="373"/>
      <c r="Z1" s="373"/>
      <c r="AA1" s="373"/>
      <c r="AB1" s="373"/>
    </row>
    <row r="2" spans="1:29" s="115" customFormat="1" ht="15.75" customHeight="1" thickBot="1">
      <c r="A2" s="374"/>
      <c r="B2" s="118"/>
      <c r="C2" s="377"/>
      <c r="D2" s="377"/>
      <c r="E2" s="377"/>
      <c r="F2" s="377"/>
      <c r="G2" s="377"/>
      <c r="H2" s="377"/>
      <c r="I2" s="378"/>
      <c r="J2" s="379"/>
      <c r="K2" s="379"/>
      <c r="L2" s="379"/>
      <c r="M2" s="379"/>
      <c r="N2" s="379"/>
      <c r="O2" s="379"/>
      <c r="P2" s="379"/>
      <c r="Q2" s="116"/>
      <c r="R2" s="116"/>
      <c r="S2" s="117"/>
      <c r="T2" s="367" t="s">
        <v>198</v>
      </c>
      <c r="U2" s="43"/>
      <c r="V2" s="381" t="s">
        <v>197</v>
      </c>
      <c r="W2" s="382"/>
      <c r="X2" s="379"/>
      <c r="Y2" s="379"/>
      <c r="Z2" s="379"/>
      <c r="AA2" s="379"/>
      <c r="AB2" s="383"/>
    </row>
    <row r="3" spans="1:29" s="115" customFormat="1" ht="15.75" customHeight="1" thickBot="1">
      <c r="A3" s="375"/>
      <c r="B3" s="369" t="s">
        <v>210</v>
      </c>
      <c r="C3" s="367" t="s">
        <v>212</v>
      </c>
      <c r="D3" s="369" t="s">
        <v>211</v>
      </c>
      <c r="E3" s="367" t="s">
        <v>196</v>
      </c>
      <c r="F3" s="369" t="s">
        <v>213</v>
      </c>
      <c r="G3" s="367" t="s">
        <v>134</v>
      </c>
      <c r="H3" s="369" t="s">
        <v>222</v>
      </c>
      <c r="I3" s="371" t="s">
        <v>195</v>
      </c>
      <c r="J3" s="367" t="s">
        <v>194</v>
      </c>
      <c r="K3" s="367" t="s">
        <v>218</v>
      </c>
      <c r="L3" s="369" t="s">
        <v>217</v>
      </c>
      <c r="M3" s="367" t="s">
        <v>193</v>
      </c>
      <c r="N3" s="367" t="s">
        <v>216</v>
      </c>
      <c r="O3" s="367" t="s">
        <v>192</v>
      </c>
      <c r="P3" s="367" t="s">
        <v>191</v>
      </c>
      <c r="Q3" s="387" t="s">
        <v>214</v>
      </c>
      <c r="R3" s="387" t="s">
        <v>190</v>
      </c>
      <c r="S3" s="387" t="s">
        <v>208</v>
      </c>
      <c r="T3" s="380"/>
      <c r="U3" s="43"/>
      <c r="V3" s="390"/>
      <c r="W3" s="367" t="s">
        <v>189</v>
      </c>
      <c r="X3" s="379" t="s">
        <v>188</v>
      </c>
      <c r="Y3" s="379"/>
      <c r="Z3" s="379"/>
      <c r="AA3" s="379"/>
      <c r="AB3" s="396" t="s">
        <v>163</v>
      </c>
    </row>
    <row r="4" spans="1:29" ht="43.5" customHeight="1" thickBot="1">
      <c r="A4" s="376"/>
      <c r="B4" s="370"/>
      <c r="C4" s="368"/>
      <c r="D4" s="370"/>
      <c r="E4" s="368"/>
      <c r="F4" s="370"/>
      <c r="G4" s="368"/>
      <c r="H4" s="370"/>
      <c r="I4" s="372"/>
      <c r="J4" s="368"/>
      <c r="K4" s="368"/>
      <c r="L4" s="370"/>
      <c r="M4" s="368"/>
      <c r="N4" s="368"/>
      <c r="O4" s="368"/>
      <c r="P4" s="368"/>
      <c r="Q4" s="388"/>
      <c r="R4" s="388"/>
      <c r="S4" s="388"/>
      <c r="T4" s="368"/>
      <c r="U4" s="43"/>
      <c r="V4" s="391"/>
      <c r="W4" s="392"/>
      <c r="X4" s="114" t="s">
        <v>187</v>
      </c>
      <c r="Y4" s="113" t="s">
        <v>186</v>
      </c>
      <c r="Z4" s="113" t="s">
        <v>185</v>
      </c>
      <c r="AA4" s="113" t="s">
        <v>207</v>
      </c>
      <c r="AB4" s="397"/>
    </row>
    <row r="5" spans="1:29">
      <c r="A5" s="68"/>
      <c r="B5" s="73"/>
      <c r="C5" s="83"/>
      <c r="D5" s="72"/>
      <c r="E5" s="83"/>
      <c r="F5" s="72"/>
      <c r="G5" s="83"/>
      <c r="H5" s="112"/>
      <c r="I5" s="103"/>
      <c r="J5" s="83"/>
      <c r="K5" s="83"/>
      <c r="L5" s="111"/>
      <c r="M5" s="83"/>
      <c r="N5" s="83"/>
      <c r="O5" s="83"/>
      <c r="P5" s="103"/>
      <c r="Q5" s="82"/>
      <c r="R5" s="81"/>
      <c r="S5" s="80"/>
      <c r="T5" s="103"/>
      <c r="U5" s="43"/>
      <c r="V5" s="105" t="s">
        <v>184</v>
      </c>
      <c r="W5" s="78"/>
      <c r="X5" s="77"/>
      <c r="Y5" s="77"/>
      <c r="Z5" s="77"/>
      <c r="AA5" s="76"/>
      <c r="AB5" s="110"/>
    </row>
    <row r="6" spans="1:29">
      <c r="A6" s="85" t="s">
        <v>184</v>
      </c>
      <c r="B6" s="109">
        <v>1</v>
      </c>
      <c r="C6" s="83">
        <f t="shared" ref="C6:C20" si="0">B6+H6*(B6/SUM(B6,D6,F6))</f>
        <v>3203.5033333333331</v>
      </c>
      <c r="D6" s="72">
        <v>1</v>
      </c>
      <c r="E6" s="83">
        <f t="shared" ref="E6:E20" si="1">D6+H6*(D6/SUM(B6,D6,F6))</f>
        <v>3203.5033333333331</v>
      </c>
      <c r="F6" s="72">
        <v>1</v>
      </c>
      <c r="G6" s="83">
        <f t="shared" ref="G6:G20" si="2">F6+H6*(F6/SUM(B6,D6,F6))</f>
        <v>3203.5033333333331</v>
      </c>
      <c r="H6" s="108">
        <v>9607.51</v>
      </c>
      <c r="I6" s="103">
        <v>9607.51</v>
      </c>
      <c r="J6" s="107"/>
      <c r="K6" s="107"/>
      <c r="L6" s="106"/>
      <c r="M6" s="70"/>
      <c r="N6" s="70"/>
      <c r="O6" s="70"/>
      <c r="P6" s="69">
        <v>9607.51</v>
      </c>
      <c r="Q6" s="82"/>
      <c r="R6" s="81"/>
      <c r="S6" s="80"/>
      <c r="T6" s="69">
        <f t="shared" ref="T6:T21" si="3">SUM(I6-P6)</f>
        <v>0</v>
      </c>
      <c r="U6" s="43"/>
      <c r="V6" s="105"/>
      <c r="W6" s="78"/>
      <c r="X6" s="77"/>
      <c r="Y6" s="77"/>
      <c r="Z6" s="77"/>
      <c r="AA6" s="76"/>
      <c r="AB6" s="104"/>
    </row>
    <row r="7" spans="1:29">
      <c r="A7" s="85" t="s">
        <v>200</v>
      </c>
      <c r="B7" s="73">
        <f>4211.73+460.99</f>
        <v>4672.7199999999993</v>
      </c>
      <c r="C7" s="83">
        <f t="shared" si="0"/>
        <v>7383.5999999999995</v>
      </c>
      <c r="D7" s="72">
        <v>0</v>
      </c>
      <c r="E7" s="83">
        <f t="shared" si="1"/>
        <v>0</v>
      </c>
      <c r="F7" s="72">
        <v>0</v>
      </c>
      <c r="G7" s="83">
        <f t="shared" si="2"/>
        <v>0</v>
      </c>
      <c r="H7" s="72">
        <v>2710.88</v>
      </c>
      <c r="I7" s="89">
        <f t="shared" ref="I7:I20" si="4">SUM(B7,D7,F7,H7)+J7+K7+L7+O7</f>
        <v>8996.5799999999981</v>
      </c>
      <c r="J7" s="83">
        <v>355.52</v>
      </c>
      <c r="K7" s="83">
        <f>118.81+115.34</f>
        <v>234.15</v>
      </c>
      <c r="L7" s="71">
        <v>1011.31</v>
      </c>
      <c r="M7" s="83">
        <v>505.65</v>
      </c>
      <c r="N7" s="83">
        <f t="shared" ref="N7:N20" si="5">IF(AB7&lt;10,(L7*0.5),0)</f>
        <v>0</v>
      </c>
      <c r="O7" s="83">
        <v>12</v>
      </c>
      <c r="P7" s="103">
        <f t="shared" ref="P7:P20" si="6">SUM(J7:O7)-L7</f>
        <v>1107.3200000000002</v>
      </c>
      <c r="Q7" s="82">
        <f>C7-((C7/I7)*(SUM(J7:K7,M7:O7)))</f>
        <v>6474.8093315459864</v>
      </c>
      <c r="R7" s="81">
        <f>E7-((E7/I7)*(SUM(J7:K7,M7:O7)))</f>
        <v>0</v>
      </c>
      <c r="S7" s="80">
        <f>G7-((G7/I7)*(SUM(J7:K7,M7:O7)))</f>
        <v>0</v>
      </c>
      <c r="T7" s="103">
        <f t="shared" si="3"/>
        <v>7889.2599999999984</v>
      </c>
      <c r="U7" s="43"/>
      <c r="V7" s="102" t="s">
        <v>200</v>
      </c>
      <c r="W7" s="67">
        <v>11</v>
      </c>
      <c r="X7" s="66">
        <v>0</v>
      </c>
      <c r="Y7" s="66"/>
      <c r="Z7" s="66"/>
      <c r="AA7" s="94"/>
      <c r="AB7" s="86">
        <f t="shared" ref="AB7:AB20" si="7">SUM(W7:AA7)</f>
        <v>11</v>
      </c>
    </row>
    <row r="8" spans="1:29">
      <c r="A8" s="85" t="s">
        <v>183</v>
      </c>
      <c r="B8" s="73">
        <v>5076.63</v>
      </c>
      <c r="C8" s="70">
        <f t="shared" si="0"/>
        <v>5497.5722780274073</v>
      </c>
      <c r="D8" s="72">
        <f>815.4+600.62</f>
        <v>1416.02</v>
      </c>
      <c r="E8" s="70">
        <f t="shared" si="1"/>
        <v>1533.4330642832685</v>
      </c>
      <c r="F8" s="72">
        <f>662.4</f>
        <v>662.4</v>
      </c>
      <c r="G8" s="70">
        <f t="shared" si="2"/>
        <v>717.32465768932434</v>
      </c>
      <c r="H8" s="72">
        <v>593.28</v>
      </c>
      <c r="I8" s="89">
        <f t="shared" si="4"/>
        <v>8992.9999999999982</v>
      </c>
      <c r="J8" s="83">
        <v>360.76</v>
      </c>
      <c r="K8" s="70">
        <v>57.78</v>
      </c>
      <c r="L8" s="71">
        <v>814.13</v>
      </c>
      <c r="M8" s="70">
        <f>L8*0.5</f>
        <v>407.065</v>
      </c>
      <c r="N8" s="70">
        <f t="shared" si="5"/>
        <v>0</v>
      </c>
      <c r="O8" s="70">
        <v>12</v>
      </c>
      <c r="P8" s="69">
        <f t="shared" si="6"/>
        <v>837.60500000000013</v>
      </c>
      <c r="Q8" s="82">
        <f>C8-((C8/I8)*(SUM(J8:K8,M8:O8)))+M8</f>
        <v>5392.5952422287692</v>
      </c>
      <c r="R8" s="81">
        <f>E8-((E8/I8)*(SUM(J8:K8,M8:O8)))+M8</f>
        <v>1797.6746236284273</v>
      </c>
      <c r="S8" s="80">
        <f>G8-((G8/I8)*(SUM(J8:K8,M8:O8)))+M8</f>
        <v>1057.5782799617732</v>
      </c>
      <c r="T8" s="69">
        <f t="shared" si="3"/>
        <v>8155.3949999999977</v>
      </c>
      <c r="U8" s="43"/>
      <c r="V8" s="101" t="s">
        <v>183</v>
      </c>
      <c r="W8" s="78">
        <v>12</v>
      </c>
      <c r="X8" s="77">
        <v>2</v>
      </c>
      <c r="Y8" s="77">
        <v>2</v>
      </c>
      <c r="Z8" s="77"/>
      <c r="AA8" s="76"/>
      <c r="AB8" s="75">
        <f t="shared" si="7"/>
        <v>16</v>
      </c>
    </row>
    <row r="9" spans="1:29">
      <c r="A9" s="85" t="s">
        <v>182</v>
      </c>
      <c r="B9" s="73">
        <f>467.79+4608.83</f>
        <v>5076.62</v>
      </c>
      <c r="C9" s="83">
        <f t="shared" si="0"/>
        <v>5497.5549774987558</v>
      </c>
      <c r="D9" s="72">
        <f>815.47+600.62</f>
        <v>1416.0900000000001</v>
      </c>
      <c r="E9" s="83">
        <f t="shared" si="1"/>
        <v>1533.5070633780379</v>
      </c>
      <c r="F9" s="72">
        <v>662.45</v>
      </c>
      <c r="G9" s="83">
        <f t="shared" si="2"/>
        <v>717.37795912320621</v>
      </c>
      <c r="H9" s="72">
        <v>593.28</v>
      </c>
      <c r="I9" s="84">
        <f t="shared" si="4"/>
        <v>8992.99</v>
      </c>
      <c r="J9" s="83">
        <v>360.64</v>
      </c>
      <c r="K9" s="83">
        <v>57.78</v>
      </c>
      <c r="L9" s="71">
        <f>L8</f>
        <v>814.13</v>
      </c>
      <c r="M9" s="70">
        <v>407.07</v>
      </c>
      <c r="N9" s="83">
        <f t="shared" si="5"/>
        <v>0</v>
      </c>
      <c r="O9" s="83">
        <f t="shared" ref="O9:O20" si="8">O8</f>
        <v>12</v>
      </c>
      <c r="P9" s="87">
        <f t="shared" si="6"/>
        <v>837.4899999999999</v>
      </c>
      <c r="Q9" s="82">
        <f t="shared" ref="Q9:Q20" si="9">C9-((C9/I9)*(SUM(J9:K9,M9:O9)))</f>
        <v>4985.5842849809796</v>
      </c>
      <c r="R9" s="81">
        <f t="shared" ref="R9:R20" si="10">E9-((E9/I9)*(SUM(J9:K9,M9:O9)))</f>
        <v>1390.6961817348388</v>
      </c>
      <c r="S9" s="80">
        <f t="shared" ref="S9:S20" si="11">G9-((G9/I9)*(SUM(J9:K9,M9:O9)))</f>
        <v>650.5707162611443</v>
      </c>
      <c r="T9" s="87">
        <f t="shared" si="3"/>
        <v>8155.5</v>
      </c>
      <c r="U9" s="43"/>
      <c r="V9" s="100" t="s">
        <v>182</v>
      </c>
      <c r="W9" s="99">
        <v>12</v>
      </c>
      <c r="X9" s="98">
        <v>2</v>
      </c>
      <c r="Y9" s="98">
        <f>Y8</f>
        <v>2</v>
      </c>
      <c r="Z9" s="98"/>
      <c r="AA9" s="97"/>
      <c r="AB9" s="96">
        <f t="shared" si="7"/>
        <v>16</v>
      </c>
    </row>
    <row r="10" spans="1:29">
      <c r="A10" s="85" t="s">
        <v>181</v>
      </c>
      <c r="B10" s="73">
        <f>422.53+2704.19</f>
        <v>3126.7200000000003</v>
      </c>
      <c r="C10" s="70">
        <f t="shared" si="0"/>
        <v>3412.4175686022472</v>
      </c>
      <c r="D10" s="72">
        <f>1270.45+1115.78</f>
        <v>2386.23</v>
      </c>
      <c r="E10" s="70">
        <f t="shared" si="1"/>
        <v>2604.2668274504081</v>
      </c>
      <c r="F10" s="72">
        <v>586.34</v>
      </c>
      <c r="G10" s="70">
        <f t="shared" si="2"/>
        <v>639.91560394734472</v>
      </c>
      <c r="H10" s="72">
        <v>557.30999999999995</v>
      </c>
      <c r="I10" s="84">
        <f t="shared" si="4"/>
        <v>7850.69</v>
      </c>
      <c r="J10" s="83">
        <v>325.95</v>
      </c>
      <c r="K10" s="70">
        <v>57.78</v>
      </c>
      <c r="L10" s="71">
        <v>798.36</v>
      </c>
      <c r="M10" s="70">
        <f t="shared" ref="M10:M20" si="12">L10/2</f>
        <v>399.18</v>
      </c>
      <c r="N10" s="70">
        <f t="shared" si="5"/>
        <v>0</v>
      </c>
      <c r="O10" s="70">
        <f t="shared" si="8"/>
        <v>12</v>
      </c>
      <c r="P10" s="69">
        <f t="shared" si="6"/>
        <v>794.9100000000002</v>
      </c>
      <c r="Q10" s="82">
        <f t="shared" si="9"/>
        <v>3066.898276736486</v>
      </c>
      <c r="R10" s="81">
        <f t="shared" si="10"/>
        <v>2340.5756431330292</v>
      </c>
      <c r="S10" s="80">
        <f t="shared" si="11"/>
        <v>575.12189629441434</v>
      </c>
      <c r="T10" s="69">
        <f t="shared" si="3"/>
        <v>7055.78</v>
      </c>
      <c r="U10" s="43"/>
      <c r="V10" s="79" t="s">
        <v>181</v>
      </c>
      <c r="W10" s="78">
        <v>8</v>
      </c>
      <c r="X10" s="77">
        <v>3</v>
      </c>
      <c r="Y10" s="77">
        <v>3</v>
      </c>
      <c r="Z10" s="77"/>
      <c r="AA10" s="76"/>
      <c r="AB10" s="75">
        <f t="shared" si="7"/>
        <v>14</v>
      </c>
    </row>
    <row r="11" spans="1:29">
      <c r="A11" s="95" t="s">
        <v>180</v>
      </c>
      <c r="B11" s="73">
        <f>422.53+2704.14</f>
        <v>3126.67</v>
      </c>
      <c r="C11" s="88">
        <f t="shared" si="0"/>
        <v>3412.3648735828174</v>
      </c>
      <c r="D11" s="72">
        <v>2972.58</v>
      </c>
      <c r="E11" s="88">
        <f t="shared" si="1"/>
        <v>3244.1951264171821</v>
      </c>
      <c r="F11" s="72">
        <v>0</v>
      </c>
      <c r="G11" s="88">
        <f t="shared" si="2"/>
        <v>0</v>
      </c>
      <c r="H11" s="72">
        <v>557.30999999999995</v>
      </c>
      <c r="I11" s="89">
        <f t="shared" si="4"/>
        <v>7850.6499999999987</v>
      </c>
      <c r="J11" s="83">
        <v>325.95</v>
      </c>
      <c r="K11" s="88">
        <v>57.78</v>
      </c>
      <c r="L11" s="71">
        <f>L10</f>
        <v>798.36</v>
      </c>
      <c r="M11" s="70">
        <f t="shared" si="12"/>
        <v>399.18</v>
      </c>
      <c r="N11" s="88">
        <f t="shared" si="5"/>
        <v>0</v>
      </c>
      <c r="O11" s="83">
        <f t="shared" si="8"/>
        <v>12</v>
      </c>
      <c r="P11" s="87">
        <f t="shared" si="6"/>
        <v>794.9100000000002</v>
      </c>
      <c r="Q11" s="82">
        <f t="shared" si="9"/>
        <v>3066.8491568383797</v>
      </c>
      <c r="R11" s="81">
        <f t="shared" si="10"/>
        <v>2915.707275355132</v>
      </c>
      <c r="S11" s="80">
        <f t="shared" si="11"/>
        <v>0</v>
      </c>
      <c r="T11" s="87">
        <f t="shared" si="3"/>
        <v>7055.7399999999989</v>
      </c>
      <c r="U11" s="43"/>
      <c r="V11" s="68" t="s">
        <v>180</v>
      </c>
      <c r="W11" s="67">
        <f>W10</f>
        <v>8</v>
      </c>
      <c r="X11" s="66">
        <f>X10</f>
        <v>3</v>
      </c>
      <c r="Y11" s="66">
        <f>Y10</f>
        <v>3</v>
      </c>
      <c r="Z11" s="66"/>
      <c r="AA11" s="94"/>
      <c r="AB11" s="86">
        <f t="shared" si="7"/>
        <v>14</v>
      </c>
    </row>
    <row r="12" spans="1:29">
      <c r="A12" s="85" t="s">
        <v>179</v>
      </c>
      <c r="B12" s="73">
        <v>3551.38</v>
      </c>
      <c r="C12" s="92">
        <f t="shared" si="0"/>
        <v>3878.5925597603818</v>
      </c>
      <c r="D12" s="72">
        <v>1693.99</v>
      </c>
      <c r="E12" s="92">
        <f t="shared" si="1"/>
        <v>1850.0687085889115</v>
      </c>
      <c r="F12" s="72">
        <f>820.94</f>
        <v>820.94</v>
      </c>
      <c r="G12" s="92">
        <f t="shared" si="2"/>
        <v>896.57873165070703</v>
      </c>
      <c r="H12" s="72">
        <v>558.92999999999995</v>
      </c>
      <c r="I12" s="89">
        <f t="shared" si="4"/>
        <v>7849.4199999999992</v>
      </c>
      <c r="J12" s="83">
        <f>322.73+32.89</f>
        <v>355.62</v>
      </c>
      <c r="K12" s="92">
        <v>57.78</v>
      </c>
      <c r="L12" s="93">
        <v>798.78</v>
      </c>
      <c r="M12" s="70">
        <f t="shared" si="12"/>
        <v>399.39</v>
      </c>
      <c r="N12" s="92">
        <f t="shared" si="5"/>
        <v>0</v>
      </c>
      <c r="O12" s="70">
        <f t="shared" si="8"/>
        <v>12</v>
      </c>
      <c r="P12" s="91">
        <f t="shared" si="6"/>
        <v>824.78999999999974</v>
      </c>
      <c r="Q12" s="82">
        <f t="shared" si="9"/>
        <v>3471.043421433631</v>
      </c>
      <c r="R12" s="81">
        <f t="shared" si="10"/>
        <v>1655.6698650874746</v>
      </c>
      <c r="S12" s="80">
        <f t="shared" si="11"/>
        <v>802.36932865300957</v>
      </c>
      <c r="T12" s="91">
        <f t="shared" si="3"/>
        <v>7024.6299999999992</v>
      </c>
      <c r="U12" s="43"/>
      <c r="V12" s="79" t="s">
        <v>179</v>
      </c>
      <c r="W12" s="78">
        <v>9</v>
      </c>
      <c r="X12" s="77">
        <v>0</v>
      </c>
      <c r="Y12" s="77">
        <v>3</v>
      </c>
      <c r="Z12" s="77">
        <v>1</v>
      </c>
      <c r="AA12" s="76"/>
      <c r="AB12" s="75">
        <f t="shared" si="7"/>
        <v>13</v>
      </c>
      <c r="AC12" s="90"/>
    </row>
    <row r="13" spans="1:29">
      <c r="A13" s="85" t="s">
        <v>178</v>
      </c>
      <c r="B13" s="73">
        <f>2813.66+410.16</f>
        <v>3223.8199999999997</v>
      </c>
      <c r="C13" s="88">
        <f t="shared" si="0"/>
        <v>3519.251469902511</v>
      </c>
      <c r="D13" s="72">
        <v>2322.4299999999998</v>
      </c>
      <c r="E13" s="88">
        <f t="shared" si="1"/>
        <v>2535.2579211139855</v>
      </c>
      <c r="F13" s="72">
        <v>552.92999999999995</v>
      </c>
      <c r="G13" s="88">
        <f t="shared" si="2"/>
        <v>603.60060898350264</v>
      </c>
      <c r="H13" s="72">
        <v>558.92999999999995</v>
      </c>
      <c r="I13" s="89">
        <f t="shared" si="4"/>
        <v>7849.41</v>
      </c>
      <c r="J13" s="83">
        <v>322.74</v>
      </c>
      <c r="K13" s="88">
        <v>57.78</v>
      </c>
      <c r="L13" s="71">
        <f>L12</f>
        <v>798.78</v>
      </c>
      <c r="M13" s="70">
        <f t="shared" si="12"/>
        <v>399.39</v>
      </c>
      <c r="N13" s="88">
        <f t="shared" si="5"/>
        <v>0</v>
      </c>
      <c r="O13" s="83">
        <f t="shared" si="8"/>
        <v>12</v>
      </c>
      <c r="P13" s="87">
        <f t="shared" si="6"/>
        <v>791.91000000000008</v>
      </c>
      <c r="Q13" s="82">
        <f t="shared" si="9"/>
        <v>3164.2017997323328</v>
      </c>
      <c r="R13" s="81">
        <f t="shared" si="10"/>
        <v>2279.4812321259756</v>
      </c>
      <c r="S13" s="80">
        <f t="shared" si="11"/>
        <v>542.70464887183493</v>
      </c>
      <c r="T13" s="87">
        <f t="shared" si="3"/>
        <v>7057.5</v>
      </c>
      <c r="U13" s="43"/>
      <c r="V13" s="68" t="s">
        <v>178</v>
      </c>
      <c r="W13" s="67">
        <f t="shared" ref="W13:Z17" si="13">W12</f>
        <v>9</v>
      </c>
      <c r="X13" s="66">
        <f t="shared" si="13"/>
        <v>0</v>
      </c>
      <c r="Y13" s="66">
        <f t="shared" si="13"/>
        <v>3</v>
      </c>
      <c r="Z13" s="66">
        <f t="shared" si="13"/>
        <v>1</v>
      </c>
      <c r="AA13" s="65"/>
      <c r="AB13" s="86">
        <f t="shared" si="7"/>
        <v>13</v>
      </c>
    </row>
    <row r="14" spans="1:29">
      <c r="A14" s="85" t="s">
        <v>177</v>
      </c>
      <c r="B14" s="73">
        <v>3584.23</v>
      </c>
      <c r="C14" s="70">
        <f t="shared" si="0"/>
        <v>3912.6862787986702</v>
      </c>
      <c r="D14" s="72">
        <f>580.86+1113.2</f>
        <v>1694.06</v>
      </c>
      <c r="E14" s="70">
        <f t="shared" si="1"/>
        <v>1849.3024491903909</v>
      </c>
      <c r="F14" s="72">
        <v>820.95</v>
      </c>
      <c r="G14" s="70">
        <f t="shared" si="2"/>
        <v>896.1812720109391</v>
      </c>
      <c r="H14" s="72">
        <v>558.92999999999995</v>
      </c>
      <c r="I14" s="84">
        <f t="shared" si="4"/>
        <v>7849.4199999999992</v>
      </c>
      <c r="J14" s="83">
        <v>322.69</v>
      </c>
      <c r="K14" s="70">
        <v>57.78</v>
      </c>
      <c r="L14" s="71">
        <f>L13</f>
        <v>798.78</v>
      </c>
      <c r="M14" s="70">
        <f t="shared" si="12"/>
        <v>399.39</v>
      </c>
      <c r="N14" s="70">
        <f t="shared" si="5"/>
        <v>0</v>
      </c>
      <c r="O14" s="70">
        <f t="shared" si="8"/>
        <v>12</v>
      </c>
      <c r="P14" s="69">
        <f t="shared" si="6"/>
        <v>791.8599999999999</v>
      </c>
      <c r="Q14" s="82">
        <f t="shared" si="9"/>
        <v>3517.9692478932639</v>
      </c>
      <c r="R14" s="81">
        <f t="shared" si="10"/>
        <v>1662.7423418938131</v>
      </c>
      <c r="S14" s="80">
        <f t="shared" si="11"/>
        <v>805.7733053007131</v>
      </c>
      <c r="T14" s="69">
        <f t="shared" si="3"/>
        <v>7057.5599999999995</v>
      </c>
      <c r="U14" s="43"/>
      <c r="V14" s="79" t="s">
        <v>177</v>
      </c>
      <c r="W14" s="78">
        <f t="shared" si="13"/>
        <v>9</v>
      </c>
      <c r="X14" s="77">
        <f t="shared" si="13"/>
        <v>0</v>
      </c>
      <c r="Y14" s="77">
        <f t="shared" si="13"/>
        <v>3</v>
      </c>
      <c r="Z14" s="77">
        <f t="shared" si="13"/>
        <v>1</v>
      </c>
      <c r="AA14" s="76"/>
      <c r="AB14" s="75">
        <f t="shared" si="7"/>
        <v>13</v>
      </c>
    </row>
    <row r="15" spans="1:29">
      <c r="A15" s="85" t="s">
        <v>201</v>
      </c>
      <c r="B15" s="73">
        <f>3174.12+410.16</f>
        <v>3584.2799999999997</v>
      </c>
      <c r="C15" s="88">
        <f t="shared" si="0"/>
        <v>3912.74032223634</v>
      </c>
      <c r="D15" s="72">
        <v>1934.11</v>
      </c>
      <c r="E15" s="88">
        <f t="shared" si="1"/>
        <v>2111.3501692503178</v>
      </c>
      <c r="F15" s="72">
        <v>580.86</v>
      </c>
      <c r="G15" s="88">
        <f t="shared" si="2"/>
        <v>634.0895085133418</v>
      </c>
      <c r="H15" s="72">
        <v>558.92999999999995</v>
      </c>
      <c r="I15" s="89">
        <f t="shared" si="4"/>
        <v>7849.4299999999985</v>
      </c>
      <c r="J15" s="83">
        <v>322.69</v>
      </c>
      <c r="K15" s="88">
        <v>57.78</v>
      </c>
      <c r="L15" s="71">
        <f>L14</f>
        <v>798.78</v>
      </c>
      <c r="M15" s="70">
        <f t="shared" si="12"/>
        <v>399.39</v>
      </c>
      <c r="N15" s="88">
        <f t="shared" si="5"/>
        <v>0</v>
      </c>
      <c r="O15" s="83">
        <f t="shared" si="8"/>
        <v>12</v>
      </c>
      <c r="P15" s="87">
        <f t="shared" si="6"/>
        <v>791.8599999999999</v>
      </c>
      <c r="Q15" s="82">
        <f t="shared" si="9"/>
        <v>3518.0183422242794</v>
      </c>
      <c r="R15" s="81">
        <f t="shared" si="10"/>
        <v>1898.3546084232823</v>
      </c>
      <c r="S15" s="80">
        <f t="shared" si="11"/>
        <v>570.12179134007249</v>
      </c>
      <c r="T15" s="87">
        <f t="shared" si="3"/>
        <v>7057.5699999999988</v>
      </c>
      <c r="U15" s="43"/>
      <c r="V15" s="68" t="s">
        <v>201</v>
      </c>
      <c r="W15" s="67">
        <f t="shared" si="13"/>
        <v>9</v>
      </c>
      <c r="X15" s="66">
        <f t="shared" si="13"/>
        <v>0</v>
      </c>
      <c r="Y15" s="66">
        <f t="shared" si="13"/>
        <v>3</v>
      </c>
      <c r="Z15" s="66">
        <f t="shared" si="13"/>
        <v>1</v>
      </c>
      <c r="AA15" s="65"/>
      <c r="AB15" s="86">
        <f t="shared" si="7"/>
        <v>13</v>
      </c>
    </row>
    <row r="16" spans="1:29">
      <c r="A16" s="85" t="s">
        <v>202</v>
      </c>
      <c r="B16" s="73">
        <f>3211.07+373.15</f>
        <v>3584.2200000000003</v>
      </c>
      <c r="C16" s="70">
        <f t="shared" si="0"/>
        <v>3912.6748238881833</v>
      </c>
      <c r="D16" s="72">
        <v>1934.17</v>
      </c>
      <c r="E16" s="70">
        <f t="shared" si="1"/>
        <v>2111.4156675984755</v>
      </c>
      <c r="F16" s="72">
        <v>580.86</v>
      </c>
      <c r="G16" s="70">
        <f t="shared" si="2"/>
        <v>634.0895085133418</v>
      </c>
      <c r="H16" s="72">
        <v>558.92999999999995</v>
      </c>
      <c r="I16" s="84">
        <f t="shared" si="4"/>
        <v>7849.4299999999994</v>
      </c>
      <c r="J16" s="83">
        <v>322.69</v>
      </c>
      <c r="K16" s="70">
        <v>57.78</v>
      </c>
      <c r="L16" s="71">
        <f>L15</f>
        <v>798.78</v>
      </c>
      <c r="M16" s="70">
        <f t="shared" si="12"/>
        <v>399.39</v>
      </c>
      <c r="N16" s="70">
        <f t="shared" si="5"/>
        <v>0</v>
      </c>
      <c r="O16" s="70">
        <f t="shared" si="8"/>
        <v>12</v>
      </c>
      <c r="P16" s="69">
        <f t="shared" si="6"/>
        <v>791.8599999999999</v>
      </c>
      <c r="Q16" s="82">
        <f t="shared" si="9"/>
        <v>3517.9594514287692</v>
      </c>
      <c r="R16" s="81">
        <f t="shared" si="10"/>
        <v>1898.4134992187933</v>
      </c>
      <c r="S16" s="80">
        <f t="shared" si="11"/>
        <v>570.1217913400726</v>
      </c>
      <c r="T16" s="69">
        <f t="shared" si="3"/>
        <v>7057.57</v>
      </c>
      <c r="U16" s="43"/>
      <c r="V16" s="79" t="s">
        <v>202</v>
      </c>
      <c r="W16" s="78">
        <f t="shared" si="13"/>
        <v>9</v>
      </c>
      <c r="X16" s="77">
        <f t="shared" si="13"/>
        <v>0</v>
      </c>
      <c r="Y16" s="77">
        <f t="shared" si="13"/>
        <v>3</v>
      </c>
      <c r="Z16" s="77">
        <f t="shared" si="13"/>
        <v>1</v>
      </c>
      <c r="AA16" s="76"/>
      <c r="AB16" s="75">
        <f t="shared" si="7"/>
        <v>13</v>
      </c>
    </row>
    <row r="17" spans="1:28">
      <c r="A17" s="85" t="s">
        <v>203</v>
      </c>
      <c r="B17" s="73">
        <f>3174.14+410.16</f>
        <v>3584.2999999999997</v>
      </c>
      <c r="C17" s="88">
        <f t="shared" si="0"/>
        <v>3912.7632320801149</v>
      </c>
      <c r="D17" s="72">
        <v>2514.9299999999998</v>
      </c>
      <c r="E17" s="88">
        <f t="shared" si="1"/>
        <v>2745.396767919885</v>
      </c>
      <c r="F17" s="72">
        <v>0</v>
      </c>
      <c r="G17" s="88">
        <f t="shared" si="2"/>
        <v>0</v>
      </c>
      <c r="H17" s="72">
        <v>558.92999999999995</v>
      </c>
      <c r="I17" s="84">
        <f t="shared" si="4"/>
        <v>7849.4199999999992</v>
      </c>
      <c r="J17" s="83">
        <v>322.7</v>
      </c>
      <c r="K17" s="88">
        <v>57.78</v>
      </c>
      <c r="L17" s="71">
        <v>798.78</v>
      </c>
      <c r="M17" s="70">
        <f t="shared" si="12"/>
        <v>399.39</v>
      </c>
      <c r="N17" s="88">
        <f t="shared" si="5"/>
        <v>0</v>
      </c>
      <c r="O17" s="83">
        <f t="shared" si="8"/>
        <v>12</v>
      </c>
      <c r="P17" s="87">
        <f t="shared" si="6"/>
        <v>791.87000000000012</v>
      </c>
      <c r="Q17" s="82">
        <f t="shared" si="9"/>
        <v>3518.0334532445727</v>
      </c>
      <c r="R17" s="81">
        <f t="shared" si="10"/>
        <v>2468.433968297401</v>
      </c>
      <c r="S17" s="80">
        <f t="shared" si="11"/>
        <v>0</v>
      </c>
      <c r="T17" s="87">
        <f t="shared" si="3"/>
        <v>7057.5499999999993</v>
      </c>
      <c r="U17" s="43"/>
      <c r="V17" s="68" t="s">
        <v>203</v>
      </c>
      <c r="W17" s="67">
        <f t="shared" si="13"/>
        <v>9</v>
      </c>
      <c r="X17" s="66">
        <f t="shared" si="13"/>
        <v>0</v>
      </c>
      <c r="Y17" s="66">
        <f t="shared" si="13"/>
        <v>3</v>
      </c>
      <c r="Z17" s="66">
        <f t="shared" si="13"/>
        <v>1</v>
      </c>
      <c r="AA17" s="65"/>
      <c r="AB17" s="86">
        <f t="shared" si="7"/>
        <v>13</v>
      </c>
    </row>
    <row r="18" spans="1:28">
      <c r="A18" s="85" t="s">
        <v>204</v>
      </c>
      <c r="B18" s="73">
        <v>458.34</v>
      </c>
      <c r="C18" s="70">
        <f t="shared" si="0"/>
        <v>500.50669753106638</v>
      </c>
      <c r="D18" s="72">
        <f>2820.5+825.9</f>
        <v>3646.4</v>
      </c>
      <c r="E18" s="70">
        <f t="shared" si="1"/>
        <v>3981.8641660716507</v>
      </c>
      <c r="F18" s="72">
        <v>2001.54</v>
      </c>
      <c r="G18" s="70">
        <f t="shared" si="2"/>
        <v>2185.6791363972829</v>
      </c>
      <c r="H18" s="72">
        <v>561.77</v>
      </c>
      <c r="I18" s="84">
        <f t="shared" si="4"/>
        <v>7850.5299999999988</v>
      </c>
      <c r="J18" s="83">
        <v>313.92</v>
      </c>
      <c r="K18" s="70">
        <v>57.78</v>
      </c>
      <c r="L18" s="71">
        <f>L17</f>
        <v>798.78</v>
      </c>
      <c r="M18" s="70">
        <f t="shared" si="12"/>
        <v>399.39</v>
      </c>
      <c r="N18" s="70">
        <f t="shared" si="5"/>
        <v>399.39</v>
      </c>
      <c r="O18" s="70">
        <f t="shared" si="8"/>
        <v>12</v>
      </c>
      <c r="P18" s="69">
        <f t="shared" si="6"/>
        <v>1182.4799999999998</v>
      </c>
      <c r="Q18" s="82">
        <f t="shared" si="9"/>
        <v>425.11826392256665</v>
      </c>
      <c r="R18" s="81">
        <f t="shared" si="10"/>
        <v>3382.0989605254767</v>
      </c>
      <c r="S18" s="80">
        <f t="shared" si="11"/>
        <v>1856.4629095683861</v>
      </c>
      <c r="T18" s="69">
        <f t="shared" si="3"/>
        <v>6668.0499999999993</v>
      </c>
      <c r="U18" s="43"/>
      <c r="V18" s="79" t="s">
        <v>204</v>
      </c>
      <c r="W18" s="78">
        <v>1</v>
      </c>
      <c r="X18" s="77">
        <v>3</v>
      </c>
      <c r="Y18" s="77">
        <v>1</v>
      </c>
      <c r="Z18" s="77">
        <v>1</v>
      </c>
      <c r="AA18" s="76">
        <v>3</v>
      </c>
      <c r="AB18" s="75">
        <f t="shared" si="7"/>
        <v>9</v>
      </c>
    </row>
    <row r="19" spans="1:28">
      <c r="A19" s="85" t="s">
        <v>205</v>
      </c>
      <c r="B19" s="73">
        <v>458.34</v>
      </c>
      <c r="C19" s="88">
        <f t="shared" si="0"/>
        <v>500.50669753106638</v>
      </c>
      <c r="D19" s="72">
        <v>3818.99</v>
      </c>
      <c r="E19" s="88">
        <f t="shared" si="1"/>
        <v>4170.3322267403391</v>
      </c>
      <c r="F19" s="72">
        <v>1828.95</v>
      </c>
      <c r="G19" s="88">
        <f t="shared" si="2"/>
        <v>1997.2110757285941</v>
      </c>
      <c r="H19" s="72">
        <v>561.77</v>
      </c>
      <c r="I19" s="84">
        <f t="shared" si="4"/>
        <v>7850.5299999999988</v>
      </c>
      <c r="J19" s="83">
        <v>313.92</v>
      </c>
      <c r="K19" s="88">
        <v>57.78</v>
      </c>
      <c r="L19" s="71">
        <f>L18</f>
        <v>798.78</v>
      </c>
      <c r="M19" s="70">
        <f t="shared" si="12"/>
        <v>399.39</v>
      </c>
      <c r="N19" s="88">
        <f t="shared" si="5"/>
        <v>399.39</v>
      </c>
      <c r="O19" s="83">
        <f t="shared" si="8"/>
        <v>12</v>
      </c>
      <c r="P19" s="87">
        <f t="shared" si="6"/>
        <v>1182.4799999999998</v>
      </c>
      <c r="Q19" s="82">
        <f t="shared" si="9"/>
        <v>425.11826392256665</v>
      </c>
      <c r="R19" s="81">
        <f t="shared" si="10"/>
        <v>3542.1791655488123</v>
      </c>
      <c r="S19" s="80">
        <f t="shared" si="11"/>
        <v>1696.38270454505</v>
      </c>
      <c r="T19" s="87">
        <f t="shared" si="3"/>
        <v>6668.0499999999993</v>
      </c>
      <c r="U19" s="43"/>
      <c r="V19" s="68" t="s">
        <v>205</v>
      </c>
      <c r="W19" s="67">
        <f>W18</f>
        <v>1</v>
      </c>
      <c r="X19" s="66">
        <f>X18</f>
        <v>3</v>
      </c>
      <c r="Y19" s="66">
        <f>Y18</f>
        <v>1</v>
      </c>
      <c r="Z19" s="66">
        <f>Z18</f>
        <v>1</v>
      </c>
      <c r="AA19" s="65">
        <f>AA18</f>
        <v>3</v>
      </c>
      <c r="AB19" s="86">
        <f t="shared" si="7"/>
        <v>9</v>
      </c>
    </row>
    <row r="20" spans="1:28">
      <c r="A20" s="85" t="s">
        <v>206</v>
      </c>
      <c r="B20" s="73">
        <v>0</v>
      </c>
      <c r="C20" s="70">
        <f t="shared" si="0"/>
        <v>0</v>
      </c>
      <c r="D20" s="72">
        <f>3258.8+1016.01</f>
        <v>4274.8100000000004</v>
      </c>
      <c r="E20" s="70">
        <f t="shared" si="1"/>
        <v>4663.3751706604426</v>
      </c>
      <c r="F20" s="72">
        <v>1851.39</v>
      </c>
      <c r="G20" s="70">
        <f t="shared" si="2"/>
        <v>2019.6748293395581</v>
      </c>
      <c r="H20" s="72">
        <v>556.85</v>
      </c>
      <c r="I20" s="89">
        <f t="shared" si="4"/>
        <v>7848.02</v>
      </c>
      <c r="J20" s="83">
        <v>296.41000000000003</v>
      </c>
      <c r="K20" s="70">
        <v>57.78</v>
      </c>
      <c r="L20" s="71">
        <f>L19</f>
        <v>798.78</v>
      </c>
      <c r="M20" s="70">
        <f t="shared" si="12"/>
        <v>399.39</v>
      </c>
      <c r="N20" s="70">
        <f t="shared" si="5"/>
        <v>399.39</v>
      </c>
      <c r="O20" s="70">
        <f t="shared" si="8"/>
        <v>12</v>
      </c>
      <c r="P20" s="69">
        <f t="shared" si="6"/>
        <v>1164.97</v>
      </c>
      <c r="Q20" s="82">
        <f t="shared" si="9"/>
        <v>0</v>
      </c>
      <c r="R20" s="81">
        <f t="shared" si="10"/>
        <v>3971.1378709894052</v>
      </c>
      <c r="S20" s="80">
        <f t="shared" si="11"/>
        <v>1719.8717470416402</v>
      </c>
      <c r="T20" s="69">
        <f t="shared" si="3"/>
        <v>6683.05</v>
      </c>
      <c r="U20" s="43"/>
      <c r="V20" s="79" t="s">
        <v>206</v>
      </c>
      <c r="W20" s="78">
        <v>0</v>
      </c>
      <c r="X20" s="77">
        <v>3</v>
      </c>
      <c r="Y20" s="77"/>
      <c r="Z20" s="77">
        <v>1</v>
      </c>
      <c r="AA20" s="76">
        <v>4</v>
      </c>
      <c r="AB20" s="75">
        <f t="shared" si="7"/>
        <v>8</v>
      </c>
    </row>
    <row r="21" spans="1:28" ht="17.25" thickBot="1">
      <c r="A21" s="74" t="s">
        <v>176</v>
      </c>
      <c r="B21" s="73"/>
      <c r="C21" s="70"/>
      <c r="D21" s="72"/>
      <c r="E21" s="70"/>
      <c r="F21" s="72"/>
      <c r="G21" s="70"/>
      <c r="H21" s="72"/>
      <c r="I21" s="69">
        <v>984.32</v>
      </c>
      <c r="J21" s="70"/>
      <c r="K21" s="70"/>
      <c r="L21" s="71"/>
      <c r="M21" s="70"/>
      <c r="N21" s="70"/>
      <c r="O21" s="70"/>
      <c r="P21" s="69">
        <v>984.32</v>
      </c>
      <c r="Q21" s="70"/>
      <c r="R21" s="70"/>
      <c r="S21" s="70"/>
      <c r="T21" s="69">
        <f t="shared" si="3"/>
        <v>0</v>
      </c>
      <c r="U21" s="43"/>
      <c r="V21" s="68"/>
      <c r="W21" s="67"/>
      <c r="X21" s="66"/>
      <c r="Y21" s="66"/>
      <c r="Z21" s="66"/>
      <c r="AA21" s="65"/>
      <c r="AB21" s="64"/>
    </row>
    <row r="22" spans="1:28" ht="17.25" thickBot="1">
      <c r="A22" s="63" t="s">
        <v>131</v>
      </c>
      <c r="B22" s="62"/>
      <c r="C22" s="61">
        <f>SUM(C7:C21)</f>
        <v>49253.231779439571</v>
      </c>
      <c r="D22" s="60"/>
      <c r="E22" s="319">
        <f>SUM(E7:E21)</f>
        <v>34933.765328663292</v>
      </c>
      <c r="F22" s="60"/>
      <c r="G22" s="319">
        <f>SUM(G5:G21)</f>
        <v>15145.226225230474</v>
      </c>
      <c r="H22" s="60"/>
      <c r="I22" s="59">
        <f>SUM(I6:I21)</f>
        <v>123921.34999999999</v>
      </c>
      <c r="J22" s="57">
        <f>SUM(J7:J21)</f>
        <v>4622.2</v>
      </c>
      <c r="K22" s="57">
        <f>SUM(K7:K21)</f>
        <v>985.28999999999974</v>
      </c>
      <c r="L22" s="58">
        <f>SUM(L7:L20)</f>
        <v>11425.310000000001</v>
      </c>
      <c r="M22" s="57">
        <f>SUM(M7:M21)</f>
        <v>5712.6550000000007</v>
      </c>
      <c r="N22" s="57">
        <f>SUM(N7:N21)</f>
        <v>1198.17</v>
      </c>
      <c r="O22" s="57">
        <f>SUM(O7:O21)</f>
        <v>168</v>
      </c>
      <c r="P22" s="56">
        <f>SUM(P5:P21)</f>
        <v>23278.144999999997</v>
      </c>
      <c r="Q22" s="55">
        <f>SUM(Q7:Q20)</f>
        <v>44544.198536132579</v>
      </c>
      <c r="R22" s="55">
        <f>SUM(R7:R20)</f>
        <v>31203.165235961864</v>
      </c>
      <c r="S22" s="55">
        <f>SUM(S7:S20)</f>
        <v>10847.07911917811</v>
      </c>
      <c r="T22" s="54">
        <f>SUM(T7:T21)</f>
        <v>100643.20499999999</v>
      </c>
      <c r="U22" s="43"/>
      <c r="V22" s="42" t="s">
        <v>175</v>
      </c>
      <c r="W22" s="53">
        <f t="shared" ref="W22:AB22" si="14">SUM(W5:W20)</f>
        <v>107</v>
      </c>
      <c r="X22" s="53">
        <f t="shared" si="14"/>
        <v>19</v>
      </c>
      <c r="Y22" s="53">
        <f t="shared" si="14"/>
        <v>30</v>
      </c>
      <c r="Z22" s="53">
        <f t="shared" si="14"/>
        <v>9</v>
      </c>
      <c r="AA22" s="53">
        <f t="shared" si="14"/>
        <v>10</v>
      </c>
      <c r="AB22" s="52">
        <f t="shared" si="14"/>
        <v>175</v>
      </c>
    </row>
    <row r="23" spans="1:28" ht="17.25" thickBot="1">
      <c r="A23" s="44" t="s">
        <v>226</v>
      </c>
      <c r="B23" s="44"/>
      <c r="C23" s="50"/>
      <c r="D23" s="50"/>
      <c r="E23" s="50"/>
      <c r="F23" s="50"/>
      <c r="G23" s="50"/>
      <c r="H23" s="50"/>
      <c r="I23" s="51"/>
      <c r="J23" s="50"/>
      <c r="K23" s="50"/>
      <c r="L23" s="50"/>
      <c r="M23" s="50"/>
      <c r="N23" s="50"/>
      <c r="O23" s="50"/>
      <c r="Q23" s="49"/>
      <c r="R23" s="49"/>
      <c r="S23" s="21">
        <f>Q22+R22+S22</f>
        <v>86594.442891272542</v>
      </c>
      <c r="T23" s="49">
        <f>Q23+R23</f>
        <v>0</v>
      </c>
      <c r="U23" s="43"/>
      <c r="V23" s="48" t="s">
        <v>163</v>
      </c>
      <c r="W23" s="47">
        <f>W22</f>
        <v>107</v>
      </c>
      <c r="X23" s="393">
        <f>SUM(X22:AA22)</f>
        <v>68</v>
      </c>
      <c r="Y23" s="394"/>
      <c r="Z23" s="394"/>
      <c r="AA23" s="395"/>
      <c r="AB23" s="46">
        <f>SUM(W23:AA23)</f>
        <v>175</v>
      </c>
    </row>
    <row r="24" spans="1:28" ht="17.25" thickBot="1">
      <c r="C24" s="44"/>
      <c r="D24" s="44"/>
      <c r="E24" s="44"/>
      <c r="F24" s="44"/>
      <c r="G24" s="44"/>
      <c r="H24" s="44"/>
      <c r="I24" s="44"/>
      <c r="J24" s="44"/>
      <c r="K24" s="44"/>
      <c r="L24" s="44"/>
      <c r="M24" s="44"/>
      <c r="N24" s="44"/>
      <c r="O24" s="44"/>
      <c r="P24" s="44"/>
      <c r="Q24" s="45"/>
      <c r="R24" s="44"/>
      <c r="S24" s="44"/>
      <c r="T24" s="44"/>
      <c r="U24" s="43"/>
      <c r="V24" s="42" t="s">
        <v>130</v>
      </c>
      <c r="W24" s="41">
        <f>W22/AB22</f>
        <v>0.61142857142857143</v>
      </c>
      <c r="X24" s="41">
        <f>X22/AB22</f>
        <v>0.10857142857142857</v>
      </c>
      <c r="Y24" s="41">
        <f>Y22/AB22</f>
        <v>0.17142857142857143</v>
      </c>
      <c r="Z24" s="41">
        <f>Z22/AB22</f>
        <v>5.1428571428571428E-2</v>
      </c>
      <c r="AA24" s="41">
        <f>AA22/AB22</f>
        <v>5.7142857142857141E-2</v>
      </c>
      <c r="AB24" s="40">
        <f>AB22/AB22</f>
        <v>1</v>
      </c>
    </row>
    <row r="25" spans="1:28">
      <c r="A25" s="14" t="s">
        <v>403</v>
      </c>
      <c r="B25" s="25">
        <f>SUM(B7:B21)</f>
        <v>43108.27</v>
      </c>
      <c r="D25" s="25">
        <f>SUM(D7:D20)</f>
        <v>32024.81</v>
      </c>
      <c r="F25" s="25">
        <f>SUM(F7:F20)</f>
        <v>10949.609999999999</v>
      </c>
      <c r="H25" s="34">
        <f>SUM(H7:H20)</f>
        <v>10046.030000000002</v>
      </c>
      <c r="J25" s="22"/>
      <c r="L25" s="29">
        <f>L22-M22-N22</f>
        <v>4514.4850000000006</v>
      </c>
      <c r="Q25" s="33"/>
      <c r="R25" s="21">
        <f>R22+S22</f>
        <v>42050.244355139977</v>
      </c>
      <c r="S25" s="39"/>
      <c r="V25" s="18" t="s">
        <v>174</v>
      </c>
    </row>
    <row r="26" spans="1:28">
      <c r="A26" s="14" t="s">
        <v>254</v>
      </c>
      <c r="B26" s="140">
        <f>H26*B29</f>
        <v>7291.5775745280498</v>
      </c>
      <c r="D26" s="140">
        <f>H26*D29</f>
        <v>5416.8582136216946</v>
      </c>
      <c r="F26" s="140">
        <f>H26*F29</f>
        <v>1852.079211850257</v>
      </c>
      <c r="H26" s="34">
        <f>H25+L25</f>
        <v>14560.515000000003</v>
      </c>
      <c r="I26" s="14" t="s">
        <v>404</v>
      </c>
      <c r="J26" s="22"/>
      <c r="Q26" s="33"/>
      <c r="S26" s="39"/>
      <c r="V26" s="18"/>
    </row>
    <row r="27" spans="1:28">
      <c r="A27" s="14" t="s">
        <v>405</v>
      </c>
      <c r="B27" s="21">
        <f>B25+B26</f>
        <v>50399.847574528045</v>
      </c>
      <c r="D27" s="21">
        <f>D25+D26</f>
        <v>37441.668213621699</v>
      </c>
      <c r="F27" s="21">
        <f>F25+F26</f>
        <v>12801.689211850256</v>
      </c>
      <c r="H27" s="34">
        <f>F27+D27+B27</f>
        <v>100643.205</v>
      </c>
      <c r="J27" s="22"/>
      <c r="Q27" s="33"/>
      <c r="S27" s="39"/>
      <c r="V27" s="18"/>
    </row>
    <row r="28" spans="1:28">
      <c r="A28" s="14" t="s">
        <v>255</v>
      </c>
      <c r="B28" s="140">
        <f>P22*B29</f>
        <v>11657.170097253578</v>
      </c>
      <c r="D28" s="140">
        <f>P22*D29</f>
        <v>8660.0241091147345</v>
      </c>
      <c r="F28" s="140">
        <f>P22*F29</f>
        <v>2960.9507936316804</v>
      </c>
      <c r="H28" s="34">
        <f>B28+D28+F28</f>
        <v>23278.144999999993</v>
      </c>
      <c r="J28" s="22"/>
      <c r="Q28" s="33"/>
      <c r="S28" s="39"/>
      <c r="V28" s="18"/>
    </row>
    <row r="29" spans="1:28">
      <c r="A29" s="14" t="s">
        <v>253</v>
      </c>
      <c r="B29" s="140">
        <f>B25/D32</f>
        <v>0.50077745014706199</v>
      </c>
      <c r="C29" s="25"/>
      <c r="D29" s="140">
        <f>D25/D32</f>
        <v>0.37202380641218347</v>
      </c>
      <c r="F29" s="140">
        <f>F25/D32</f>
        <v>0.12719874344075444</v>
      </c>
      <c r="H29" s="34"/>
      <c r="J29" s="22">
        <f>(R22+S22)</f>
        <v>42050.244355139977</v>
      </c>
      <c r="M29" s="33"/>
      <c r="P29" s="38">
        <f>SUM(J22:O22)</f>
        <v>24111.625</v>
      </c>
      <c r="Q29" s="37"/>
      <c r="R29" s="37"/>
      <c r="S29" s="36" t="s">
        <v>215</v>
      </c>
      <c r="T29" s="35">
        <f>SUM(Q22:S22)</f>
        <v>86594.442891272542</v>
      </c>
      <c r="V29" s="18"/>
    </row>
    <row r="30" spans="1:28">
      <c r="B30" s="21">
        <f>(B25+B26)+B28</f>
        <v>62057.017671781621</v>
      </c>
      <c r="C30" s="21"/>
      <c r="D30" s="21">
        <f>(D25+D26)+D28</f>
        <v>46101.692322736431</v>
      </c>
      <c r="E30" s="34"/>
      <c r="F30" s="21">
        <f>(F25+F26)+F28</f>
        <v>15762.640005481937</v>
      </c>
      <c r="G30" s="34"/>
      <c r="H30" s="21">
        <f>C22+E22+G22</f>
        <v>99332.223333333342</v>
      </c>
      <c r="I30" s="33"/>
      <c r="J30" s="25">
        <f>D25+F25</f>
        <v>42974.42</v>
      </c>
      <c r="R30" s="25"/>
      <c r="S30" s="28" t="s">
        <v>173</v>
      </c>
      <c r="T30" s="17">
        <f>'[2]R8A-UG2-Special District'!C39</f>
        <v>100800</v>
      </c>
      <c r="V30" s="32"/>
      <c r="W30" s="32"/>
      <c r="X30" s="32">
        <v>126</v>
      </c>
      <c r="Y30" s="32">
        <v>30</v>
      </c>
      <c r="Z30" s="32">
        <v>18</v>
      </c>
      <c r="AA30" s="31">
        <v>30</v>
      </c>
      <c r="AB30" s="31"/>
    </row>
    <row r="31" spans="1:28">
      <c r="A31" s="14" t="s">
        <v>402</v>
      </c>
      <c r="B31" s="140">
        <f>T22*B29</f>
        <v>50399.84757452803</v>
      </c>
      <c r="D31" s="140">
        <f>T22*D29</f>
        <v>37441.668213621691</v>
      </c>
      <c r="E31" s="30"/>
      <c r="F31" s="140">
        <f>(T22*F29)</f>
        <v>12801.689211850253</v>
      </c>
      <c r="G31" s="30"/>
      <c r="H31" s="14">
        <f>B31+D31+F31</f>
        <v>100643.20499999999</v>
      </c>
      <c r="J31" s="29"/>
      <c r="O31" s="14" t="s">
        <v>209</v>
      </c>
      <c r="Q31" s="25">
        <f>+SUM(Q8:S8)</f>
        <v>8247.848145818969</v>
      </c>
      <c r="S31" s="28" t="s">
        <v>172</v>
      </c>
      <c r="T31" s="17">
        <f>T30-T22</f>
        <v>156.79500000001281</v>
      </c>
      <c r="V31" s="27"/>
      <c r="W31" s="27">
        <v>160.5</v>
      </c>
      <c r="X31" s="27">
        <v>38</v>
      </c>
      <c r="Y31" s="27">
        <v>90</v>
      </c>
      <c r="Z31" s="27">
        <v>36</v>
      </c>
      <c r="AA31" s="26">
        <v>50</v>
      </c>
      <c r="AB31" s="26"/>
    </row>
    <row r="32" spans="1:28">
      <c r="D32" s="21">
        <f>B25+D25+F25</f>
        <v>86082.69</v>
      </c>
      <c r="F32" s="21">
        <f>F30+D30+B30</f>
        <v>123921.34999999999</v>
      </c>
      <c r="H32" s="25">
        <f>SUM(B25,D25,F25)</f>
        <v>86082.69</v>
      </c>
      <c r="I32" s="21"/>
    </row>
    <row r="33" spans="1:28">
      <c r="F33" s="19"/>
      <c r="H33" s="21"/>
      <c r="I33" s="21"/>
      <c r="P33" s="19"/>
      <c r="Q33" s="25">
        <f>SUM(Q8:S8)</f>
        <v>8247.848145818969</v>
      </c>
      <c r="R33" s="19"/>
      <c r="T33" s="24"/>
      <c r="X33" s="23"/>
      <c r="AA33" s="389"/>
      <c r="AB33" s="389"/>
    </row>
    <row r="34" spans="1:28">
      <c r="B34" s="14">
        <f>I22*B29</f>
        <v>62057.017671781614</v>
      </c>
      <c r="F34" s="22">
        <f>C22+E22+G22</f>
        <v>99332.223333333342</v>
      </c>
      <c r="H34" s="21"/>
      <c r="AB34" s="20"/>
    </row>
    <row r="35" spans="1:28">
      <c r="C35" s="19"/>
      <c r="D35" s="19"/>
      <c r="F35" s="21"/>
      <c r="AB35" s="20"/>
    </row>
    <row r="36" spans="1:28">
      <c r="A36" s="14" t="s">
        <v>267</v>
      </c>
      <c r="B36" s="29">
        <f>I22-B25-P22-H25</f>
        <v>47488.904999999984</v>
      </c>
      <c r="C36" s="19"/>
      <c r="I36" s="14" t="s">
        <v>219</v>
      </c>
      <c r="P36" s="14" t="s">
        <v>220</v>
      </c>
      <c r="T36" s="14" t="s">
        <v>221</v>
      </c>
      <c r="AB36" s="20"/>
    </row>
    <row r="37" spans="1:28">
      <c r="A37" s="18">
        <v>1</v>
      </c>
      <c r="I37" s="17">
        <f t="shared" ref="I37:I50" si="15">SUM(C7,E7,G7)</f>
        <v>7383.5999999999995</v>
      </c>
      <c r="J37" s="17"/>
      <c r="K37" s="17"/>
      <c r="L37" s="17"/>
      <c r="M37" s="17"/>
      <c r="N37" s="17"/>
      <c r="O37" s="17"/>
      <c r="P37" s="17">
        <f t="shared" ref="P37:P50" si="16">SUM(C7,E7,G7)-SUM(Q7:S7)</f>
        <v>908.79066845401303</v>
      </c>
      <c r="Q37" s="17"/>
      <c r="R37" s="17"/>
      <c r="S37" s="17"/>
      <c r="T37" s="17">
        <f t="shared" ref="T37:T50" si="17">SUM(Q7:S7)</f>
        <v>6474.8093315459864</v>
      </c>
    </row>
    <row r="38" spans="1:28">
      <c r="A38" s="18">
        <v>2</v>
      </c>
      <c r="I38" s="17">
        <f t="shared" si="15"/>
        <v>7748.33</v>
      </c>
      <c r="J38" s="17"/>
      <c r="K38" s="17"/>
      <c r="L38" s="17"/>
      <c r="M38" s="17"/>
      <c r="N38" s="17"/>
      <c r="O38" s="17"/>
      <c r="P38" s="17">
        <f t="shared" si="16"/>
        <v>-499.51814581896906</v>
      </c>
      <c r="Q38" s="17"/>
      <c r="R38" s="17"/>
      <c r="S38" s="17"/>
      <c r="T38" s="17">
        <f t="shared" si="17"/>
        <v>8247.848145818969</v>
      </c>
    </row>
    <row r="39" spans="1:28">
      <c r="A39" s="18">
        <v>3</v>
      </c>
      <c r="I39" s="17">
        <f t="shared" si="15"/>
        <v>7748.44</v>
      </c>
      <c r="J39" s="17"/>
      <c r="K39" s="17"/>
      <c r="L39" s="17"/>
      <c r="M39" s="17"/>
      <c r="N39" s="17"/>
      <c r="O39" s="17"/>
      <c r="P39" s="17">
        <f t="shared" si="16"/>
        <v>721.58881702303734</v>
      </c>
      <c r="Q39" s="17"/>
      <c r="R39" s="17"/>
      <c r="S39" s="17"/>
      <c r="T39" s="17">
        <f t="shared" si="17"/>
        <v>7026.8511829769623</v>
      </c>
    </row>
    <row r="40" spans="1:28">
      <c r="A40" s="18">
        <v>4</v>
      </c>
      <c r="B40" s="14" t="s">
        <v>341</v>
      </c>
      <c r="C40" s="14">
        <v>500</v>
      </c>
      <c r="I40" s="17">
        <f t="shared" si="15"/>
        <v>6656.5999999999995</v>
      </c>
      <c r="J40" s="17"/>
      <c r="K40" s="17"/>
      <c r="L40" s="17"/>
      <c r="M40" s="17"/>
      <c r="N40" s="17"/>
      <c r="O40" s="17"/>
      <c r="P40" s="17">
        <f t="shared" si="16"/>
        <v>674.0041838360703</v>
      </c>
      <c r="Q40" s="17"/>
      <c r="R40" s="17"/>
      <c r="S40" s="17"/>
      <c r="T40" s="17">
        <f t="shared" si="17"/>
        <v>5982.5958161639292</v>
      </c>
    </row>
    <row r="41" spans="1:28">
      <c r="A41" s="18">
        <v>5</v>
      </c>
      <c r="G41" s="19"/>
      <c r="I41" s="17">
        <f t="shared" si="15"/>
        <v>6656.5599999999995</v>
      </c>
      <c r="J41" s="17"/>
      <c r="K41" s="17"/>
      <c r="L41" s="17"/>
      <c r="M41" s="17"/>
      <c r="N41" s="17"/>
      <c r="O41" s="17"/>
      <c r="P41" s="17">
        <f t="shared" si="16"/>
        <v>674.00356780648781</v>
      </c>
      <c r="Q41" s="17"/>
      <c r="R41" s="17"/>
      <c r="S41" s="17"/>
      <c r="T41" s="17">
        <f t="shared" si="17"/>
        <v>5982.5564321935117</v>
      </c>
    </row>
    <row r="42" spans="1:28">
      <c r="A42" s="18">
        <v>6</v>
      </c>
      <c r="F42" s="19"/>
      <c r="I42" s="17">
        <f t="shared" si="15"/>
        <v>6625.24</v>
      </c>
      <c r="J42" s="17"/>
      <c r="K42" s="17"/>
      <c r="L42" s="17"/>
      <c r="M42" s="17"/>
      <c r="N42" s="17"/>
      <c r="O42" s="17"/>
      <c r="P42" s="17">
        <f t="shared" si="16"/>
        <v>696.15738482588404</v>
      </c>
      <c r="Q42" s="17"/>
      <c r="R42" s="17"/>
      <c r="S42" s="17"/>
      <c r="T42" s="17">
        <f t="shared" si="17"/>
        <v>5929.0826151741157</v>
      </c>
    </row>
    <row r="43" spans="1:28">
      <c r="A43" s="18">
        <v>7</v>
      </c>
      <c r="F43" s="19"/>
      <c r="I43" s="17">
        <f t="shared" si="15"/>
        <v>6658.1099999999988</v>
      </c>
      <c r="J43" s="17"/>
      <c r="K43" s="17"/>
      <c r="L43" s="17"/>
      <c r="M43" s="17"/>
      <c r="N43" s="17"/>
      <c r="O43" s="17"/>
      <c r="P43" s="17">
        <f t="shared" si="16"/>
        <v>671.72231926985478</v>
      </c>
      <c r="Q43" s="17"/>
      <c r="R43" s="17"/>
      <c r="S43" s="17"/>
      <c r="T43" s="17">
        <f t="shared" si="17"/>
        <v>5986.387680730144</v>
      </c>
    </row>
    <row r="44" spans="1:28">
      <c r="A44" s="18">
        <v>8</v>
      </c>
      <c r="I44" s="17">
        <f t="shared" si="15"/>
        <v>6658.17</v>
      </c>
      <c r="J44" s="17"/>
      <c r="K44" s="17"/>
      <c r="L44" s="17"/>
      <c r="M44" s="17"/>
      <c r="N44" s="17"/>
      <c r="O44" s="17"/>
      <c r="P44" s="17">
        <f t="shared" si="16"/>
        <v>671.68510491220968</v>
      </c>
      <c r="Q44" s="17"/>
      <c r="R44" s="17"/>
      <c r="S44" s="17"/>
      <c r="T44" s="17">
        <f t="shared" si="17"/>
        <v>5986.4848950877904</v>
      </c>
    </row>
    <row r="45" spans="1:28">
      <c r="A45" s="18">
        <v>9</v>
      </c>
      <c r="I45" s="17">
        <f t="shared" si="15"/>
        <v>6658.1799999999994</v>
      </c>
      <c r="J45" s="17"/>
      <c r="K45" s="17"/>
      <c r="L45" s="17"/>
      <c r="M45" s="17"/>
      <c r="N45" s="17"/>
      <c r="O45" s="17"/>
      <c r="P45" s="17">
        <f t="shared" si="16"/>
        <v>671.68525801236501</v>
      </c>
      <c r="Q45" s="17"/>
      <c r="R45" s="17"/>
      <c r="S45" s="17"/>
      <c r="T45" s="17">
        <f t="shared" si="17"/>
        <v>5986.4947419876344</v>
      </c>
    </row>
    <row r="46" spans="1:28">
      <c r="A46" s="18">
        <v>10</v>
      </c>
      <c r="I46" s="17">
        <f t="shared" si="15"/>
        <v>6658.18</v>
      </c>
      <c r="J46" s="17"/>
      <c r="K46" s="17"/>
      <c r="L46" s="17"/>
      <c r="M46" s="17"/>
      <c r="N46" s="17"/>
      <c r="O46" s="17"/>
      <c r="P46" s="17">
        <f t="shared" si="16"/>
        <v>671.68525801236501</v>
      </c>
      <c r="Q46" s="17"/>
      <c r="R46" s="17"/>
      <c r="S46" s="17"/>
      <c r="T46" s="17">
        <f t="shared" si="17"/>
        <v>5986.4947419876353</v>
      </c>
    </row>
    <row r="47" spans="1:28">
      <c r="A47" s="18">
        <v>11</v>
      </c>
      <c r="I47" s="17">
        <f t="shared" si="15"/>
        <v>6658.16</v>
      </c>
      <c r="J47" s="17"/>
      <c r="K47" s="17"/>
      <c r="L47" s="17"/>
      <c r="M47" s="17"/>
      <c r="N47" s="17"/>
      <c r="O47" s="17"/>
      <c r="P47" s="17">
        <f t="shared" si="16"/>
        <v>671.69257845802622</v>
      </c>
      <c r="Q47" s="17"/>
      <c r="R47" s="17"/>
      <c r="S47" s="17"/>
      <c r="T47" s="17">
        <f t="shared" si="17"/>
        <v>5986.4674215419736</v>
      </c>
    </row>
    <row r="48" spans="1:28">
      <c r="A48" s="18">
        <v>12</v>
      </c>
      <c r="I48" s="17">
        <f t="shared" si="15"/>
        <v>6668.0499999999993</v>
      </c>
      <c r="J48" s="17"/>
      <c r="K48" s="17"/>
      <c r="L48" s="17"/>
      <c r="M48" s="17"/>
      <c r="N48" s="17"/>
      <c r="O48" s="17"/>
      <c r="P48" s="17">
        <f t="shared" si="16"/>
        <v>1004.36986598357</v>
      </c>
      <c r="Q48" s="17"/>
      <c r="R48" s="17"/>
      <c r="S48" s="17"/>
      <c r="T48" s="17">
        <f t="shared" si="17"/>
        <v>5663.6801340164293</v>
      </c>
    </row>
    <row r="49" spans="1:20">
      <c r="A49" s="18">
        <v>13</v>
      </c>
      <c r="I49" s="17">
        <f t="shared" si="15"/>
        <v>6668.0499999999993</v>
      </c>
      <c r="J49" s="17"/>
      <c r="K49" s="17"/>
      <c r="L49" s="17"/>
      <c r="M49" s="17"/>
      <c r="N49" s="17"/>
      <c r="O49" s="17"/>
      <c r="P49" s="17">
        <f t="shared" si="16"/>
        <v>1004.36986598357</v>
      </c>
      <c r="Q49" s="17"/>
      <c r="R49" s="17"/>
      <c r="S49" s="17"/>
      <c r="T49" s="17">
        <f t="shared" si="17"/>
        <v>5663.6801340164293</v>
      </c>
    </row>
    <row r="50" spans="1:20">
      <c r="A50" s="18">
        <v>14</v>
      </c>
      <c r="I50" s="17">
        <f t="shared" si="15"/>
        <v>6683.0500000000011</v>
      </c>
      <c r="J50" s="17"/>
      <c r="K50" s="17"/>
      <c r="L50" s="17"/>
      <c r="M50" s="17"/>
      <c r="N50" s="17"/>
      <c r="O50" s="17"/>
      <c r="P50" s="17">
        <f t="shared" si="16"/>
        <v>992.04038196895544</v>
      </c>
      <c r="Q50" s="17"/>
      <c r="R50" s="17"/>
      <c r="S50" s="17"/>
      <c r="T50" s="17">
        <f t="shared" si="17"/>
        <v>5691.0096180310456</v>
      </c>
    </row>
    <row r="53" spans="1:20">
      <c r="B53" s="16" t="s">
        <v>252</v>
      </c>
    </row>
    <row r="54" spans="1:20">
      <c r="B54" s="15" t="s">
        <v>251</v>
      </c>
    </row>
  </sheetData>
  <mergeCells count="31">
    <mergeCell ref="AA33:AB33"/>
    <mergeCell ref="R3:R4"/>
    <mergeCell ref="S3:S4"/>
    <mergeCell ref="V3:V4"/>
    <mergeCell ref="W3:W4"/>
    <mergeCell ref="X23:AA23"/>
    <mergeCell ref="X3:AA3"/>
    <mergeCell ref="AB3:AB4"/>
    <mergeCell ref="V1:AB1"/>
    <mergeCell ref="A2:A4"/>
    <mergeCell ref="C2:I2"/>
    <mergeCell ref="J2:P2"/>
    <mergeCell ref="T2:T4"/>
    <mergeCell ref="V2:AB2"/>
    <mergeCell ref="C3:C4"/>
    <mergeCell ref="M3:M4"/>
    <mergeCell ref="O3:O4"/>
    <mergeCell ref="B3:B4"/>
    <mergeCell ref="D3:D4"/>
    <mergeCell ref="F3:F4"/>
    <mergeCell ref="K3:K4"/>
    <mergeCell ref="A1:T1"/>
    <mergeCell ref="Q3:Q4"/>
    <mergeCell ref="E3:E4"/>
    <mergeCell ref="P3:P4"/>
    <mergeCell ref="G3:G4"/>
    <mergeCell ref="H3:H4"/>
    <mergeCell ref="I3:I4"/>
    <mergeCell ref="J3:J4"/>
    <mergeCell ref="N3:N4"/>
    <mergeCell ref="L3:L4"/>
  </mergeCells>
  <conditionalFormatting sqref="I37:I50">
    <cfRule type="expression" dxfId="12" priority="2">
      <formula>I37&lt;&gt;I7</formula>
    </cfRule>
  </conditionalFormatting>
  <conditionalFormatting sqref="P37:P50">
    <cfRule type="expression" dxfId="11" priority="3">
      <formula>P37&lt;&gt;P7</formula>
    </cfRule>
  </conditionalFormatting>
  <conditionalFormatting sqref="T31">
    <cfRule type="expression" dxfId="10" priority="1">
      <formula>$T$31&lt;0</formula>
    </cfRule>
  </conditionalFormatting>
  <conditionalFormatting sqref="T37:T50">
    <cfRule type="expression" dxfId="9" priority="4">
      <formula>T37&lt;&gt;T7</formula>
    </cfRule>
  </conditionalFormatting>
  <conditionalFormatting sqref="AA12">
    <cfRule type="cellIs" dxfId="8" priority="6" operator="equal">
      <formula>0</formula>
    </cfRule>
  </conditionalFormatting>
  <conditionalFormatting sqref="AA14 AA16 Y18:AA18 Y20:AA20">
    <cfRule type="cellIs" dxfId="7" priority="5" operator="equal">
      <formula>0</formula>
    </cfRule>
  </conditionalFormatting>
  <printOptions horizontalCentered="1" verticalCentered="1"/>
  <pageMargins left="0.25" right="0.25" top="0.25" bottom="0.25" header="0.3" footer="0.3"/>
  <pageSetup paperSize="3" scale="65"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A6EC6-D46A-493D-B3C4-884C97D32DA8}">
  <sheetPr>
    <pageSetUpPr fitToPage="1"/>
  </sheetPr>
  <dimension ref="B2:AM77"/>
  <sheetViews>
    <sheetView topLeftCell="A4" zoomScale="85" zoomScaleNormal="85" workbookViewId="0">
      <selection activeCell="M68" sqref="A1:M68"/>
    </sheetView>
  </sheetViews>
  <sheetFormatPr defaultRowHeight="15"/>
  <cols>
    <col min="1" max="1" width="9.140625" style="119"/>
    <col min="2" max="2" width="11.42578125" style="119" bestFit="1" customWidth="1"/>
    <col min="3" max="3" width="12.140625" style="119" customWidth="1"/>
    <col min="4" max="4" width="11.140625" style="119" customWidth="1"/>
    <col min="5" max="5" width="10.5703125" style="119" customWidth="1"/>
    <col min="6" max="6" width="13.7109375" style="119" customWidth="1"/>
    <col min="7" max="7" width="11.7109375" style="119" bestFit="1" customWidth="1"/>
    <col min="8" max="8" width="11.7109375" style="119" customWidth="1"/>
    <col min="9" max="9" width="9.140625" style="119"/>
    <col min="10" max="10" width="10.140625" style="119" bestFit="1" customWidth="1"/>
    <col min="11" max="11" width="9.140625" style="119"/>
    <col min="12" max="12" width="8.140625" style="119" bestFit="1" customWidth="1"/>
    <col min="13" max="14" width="9.140625" style="119"/>
    <col min="15" max="15" width="10.28515625" style="119" customWidth="1"/>
    <col min="16" max="16" width="5.28515625" style="119" bestFit="1" customWidth="1"/>
    <col min="17" max="18" width="11.7109375" style="119" bestFit="1" customWidth="1"/>
    <col min="19" max="19" width="10.42578125" style="119" customWidth="1"/>
    <col min="20" max="20" width="17.42578125" style="119" bestFit="1" customWidth="1"/>
    <col min="21" max="21" width="11.7109375" style="119" customWidth="1"/>
    <col min="22" max="22" width="11.28515625" style="119" bestFit="1" customWidth="1"/>
    <col min="23" max="23" width="2.42578125" style="119" bestFit="1" customWidth="1"/>
    <col min="24" max="24" width="2.28515625" style="119" bestFit="1" customWidth="1"/>
    <col min="25" max="25" width="11.28515625" style="119" bestFit="1" customWidth="1"/>
    <col min="26" max="27" width="2.42578125" style="119" bestFit="1" customWidth="1"/>
    <col min="28" max="28" width="1.7109375" style="119" bestFit="1" customWidth="1"/>
    <col min="29" max="31" width="11.28515625" style="119" bestFit="1" customWidth="1"/>
    <col min="32" max="32" width="2.85546875" style="119" bestFit="1" customWidth="1"/>
    <col min="33" max="33" width="2.42578125" style="119" bestFit="1" customWidth="1"/>
    <col min="34" max="34" width="2.5703125" style="119" bestFit="1" customWidth="1"/>
    <col min="35" max="35" width="2.140625" style="119" bestFit="1" customWidth="1"/>
    <col min="36" max="36" width="9.140625" style="119"/>
    <col min="37" max="37" width="7.5703125" style="119" customWidth="1"/>
    <col min="38" max="38" width="11.42578125" style="119" bestFit="1" customWidth="1"/>
    <col min="39" max="39" width="8.5703125" style="119" bestFit="1" customWidth="1"/>
    <col min="40" max="16384" width="9.140625" style="119"/>
  </cols>
  <sheetData>
    <row r="2" spans="2:39">
      <c r="B2" s="119" t="s">
        <v>340</v>
      </c>
    </row>
    <row r="3" spans="2:39">
      <c r="B3" s="119" t="s">
        <v>339</v>
      </c>
    </row>
    <row r="4" spans="2:39">
      <c r="B4" s="119" t="s">
        <v>338</v>
      </c>
    </row>
    <row r="5" spans="2:39">
      <c r="B5" s="119" t="s">
        <v>337</v>
      </c>
    </row>
    <row r="7" spans="2:39">
      <c r="B7" s="120" t="s">
        <v>336</v>
      </c>
      <c r="C7" s="317" t="s">
        <v>431</v>
      </c>
      <c r="D7" s="317" t="s">
        <v>432</v>
      </c>
      <c r="E7" s="317" t="s">
        <v>411</v>
      </c>
      <c r="F7" s="317" t="s">
        <v>433</v>
      </c>
      <c r="G7" s="317" t="s">
        <v>434</v>
      </c>
      <c r="H7" s="317" t="s">
        <v>435</v>
      </c>
      <c r="I7" s="317" t="s">
        <v>436</v>
      </c>
      <c r="J7" s="317" t="s">
        <v>412</v>
      </c>
      <c r="L7" s="125"/>
      <c r="N7" s="143" t="s">
        <v>411</v>
      </c>
      <c r="O7" s="142" t="s">
        <v>410</v>
      </c>
      <c r="P7" s="145">
        <v>107</v>
      </c>
      <c r="Q7" s="121">
        <f>P7/P12</f>
        <v>0.61142857142857143</v>
      </c>
      <c r="S7" s="130">
        <v>14</v>
      </c>
      <c r="Y7" s="127" t="s">
        <v>335</v>
      </c>
      <c r="AK7" s="119" t="s">
        <v>334</v>
      </c>
      <c r="AL7" s="119" t="s">
        <v>333</v>
      </c>
      <c r="AM7" s="119" t="s">
        <v>332</v>
      </c>
    </row>
    <row r="8" spans="2:39">
      <c r="B8" s="120"/>
      <c r="C8" s="126" t="s">
        <v>280</v>
      </c>
      <c r="D8" s="126"/>
      <c r="E8" s="126" t="s">
        <v>331</v>
      </c>
      <c r="F8" s="126"/>
      <c r="L8" s="125">
        <v>11</v>
      </c>
      <c r="N8" s="143" t="s">
        <v>412</v>
      </c>
      <c r="O8" s="141" t="s">
        <v>410</v>
      </c>
      <c r="P8" s="133">
        <v>19</v>
      </c>
      <c r="Q8" s="144">
        <f>P8/P12</f>
        <v>0.10857142857142857</v>
      </c>
      <c r="S8" s="130">
        <v>13</v>
      </c>
      <c r="AK8" s="130" t="s">
        <v>330</v>
      </c>
      <c r="AL8" s="127" t="s">
        <v>304</v>
      </c>
      <c r="AM8" s="131" t="s">
        <v>309</v>
      </c>
    </row>
    <row r="9" spans="2:39">
      <c r="B9" s="123"/>
      <c r="L9" s="125"/>
      <c r="N9" s="143" t="s">
        <v>412</v>
      </c>
      <c r="O9" s="134" t="s">
        <v>186</v>
      </c>
      <c r="P9" s="133">
        <v>30</v>
      </c>
      <c r="Q9" s="121">
        <f>P9/P12</f>
        <v>0.17142857142857143</v>
      </c>
      <c r="S9" s="130">
        <v>12</v>
      </c>
      <c r="T9" s="127" t="s">
        <v>329</v>
      </c>
      <c r="AK9" s="130" t="s">
        <v>328</v>
      </c>
      <c r="AL9" s="127" t="s">
        <v>327</v>
      </c>
      <c r="AM9" s="131" t="s">
        <v>309</v>
      </c>
    </row>
    <row r="10" spans="2:39">
      <c r="B10" s="120" t="s">
        <v>326</v>
      </c>
      <c r="C10" s="317" t="s">
        <v>431</v>
      </c>
      <c r="D10" s="317" t="s">
        <v>432</v>
      </c>
      <c r="E10" s="317" t="s">
        <v>411</v>
      </c>
      <c r="F10" s="317" t="s">
        <v>433</v>
      </c>
      <c r="G10" s="317" t="s">
        <v>434</v>
      </c>
      <c r="H10" s="317" t="s">
        <v>435</v>
      </c>
      <c r="I10" s="317" t="s">
        <v>436</v>
      </c>
      <c r="J10" s="317" t="s">
        <v>412</v>
      </c>
      <c r="L10" s="125"/>
      <c r="N10" s="143" t="s">
        <v>412</v>
      </c>
      <c r="O10" s="134" t="s">
        <v>185</v>
      </c>
      <c r="P10" s="133">
        <v>9</v>
      </c>
      <c r="Q10" s="121">
        <f>P10/P12</f>
        <v>5.1428571428571428E-2</v>
      </c>
      <c r="S10" s="130">
        <v>11</v>
      </c>
      <c r="V10" s="127" t="s">
        <v>302</v>
      </c>
      <c r="AK10" s="130" t="s">
        <v>325</v>
      </c>
      <c r="AL10" s="127" t="s">
        <v>304</v>
      </c>
      <c r="AM10" s="131" t="s">
        <v>309</v>
      </c>
    </row>
    <row r="11" spans="2:39">
      <c r="B11" s="120"/>
      <c r="E11" s="126" t="s">
        <v>324</v>
      </c>
      <c r="F11" s="126"/>
      <c r="G11" s="126" t="s">
        <v>273</v>
      </c>
      <c r="H11" s="126" t="s">
        <v>315</v>
      </c>
      <c r="I11" s="126"/>
      <c r="J11" s="126" t="s">
        <v>316</v>
      </c>
      <c r="K11" s="126"/>
      <c r="L11" s="125">
        <v>16</v>
      </c>
      <c r="N11" s="143" t="s">
        <v>412</v>
      </c>
      <c r="O11" s="134" t="s">
        <v>207</v>
      </c>
      <c r="P11" s="133">
        <v>10</v>
      </c>
      <c r="Q11" s="121">
        <f>P11/P12</f>
        <v>5.7142857142857141E-2</v>
      </c>
      <c r="S11" s="130">
        <v>10</v>
      </c>
      <c r="AC11" s="127" t="s">
        <v>323</v>
      </c>
      <c r="AK11" s="130" t="s">
        <v>322</v>
      </c>
      <c r="AL11" s="127" t="s">
        <v>304</v>
      </c>
      <c r="AM11" s="131" t="s">
        <v>309</v>
      </c>
    </row>
    <row r="12" spans="2:39">
      <c r="B12" s="120"/>
      <c r="C12" s="126"/>
      <c r="D12" s="126"/>
      <c r="E12" s="126"/>
      <c r="F12" s="126"/>
      <c r="I12" s="126"/>
      <c r="J12" s="126"/>
      <c r="K12" s="126"/>
      <c r="L12" s="125"/>
      <c r="N12" s="126" t="s">
        <v>163</v>
      </c>
      <c r="P12" s="132">
        <f>SUM(P7:P11)</f>
        <v>175</v>
      </c>
      <c r="Q12" s="121">
        <f>SUM(Q7:Q11)</f>
        <v>1</v>
      </c>
      <c r="S12" s="130">
        <v>9</v>
      </c>
      <c r="V12" s="127" t="s">
        <v>302</v>
      </c>
      <c r="AK12" s="130" t="s">
        <v>321</v>
      </c>
      <c r="AL12" s="127" t="s">
        <v>304</v>
      </c>
      <c r="AM12" s="131" t="s">
        <v>309</v>
      </c>
    </row>
    <row r="13" spans="2:39">
      <c r="B13" s="123"/>
      <c r="L13" s="125"/>
      <c r="S13" s="130">
        <v>8</v>
      </c>
      <c r="AE13" s="127" t="s">
        <v>320</v>
      </c>
      <c r="AK13" s="130" t="s">
        <v>319</v>
      </c>
      <c r="AL13" s="127" t="s">
        <v>304</v>
      </c>
      <c r="AM13" s="131" t="s">
        <v>303</v>
      </c>
    </row>
    <row r="14" spans="2:39">
      <c r="B14" s="120" t="s">
        <v>318</v>
      </c>
      <c r="C14" s="317" t="s">
        <v>431</v>
      </c>
      <c r="D14" s="317" t="s">
        <v>432</v>
      </c>
      <c r="E14" s="317" t="s">
        <v>411</v>
      </c>
      <c r="F14" s="317" t="s">
        <v>433</v>
      </c>
      <c r="G14" s="317" t="s">
        <v>434</v>
      </c>
      <c r="H14" s="317" t="s">
        <v>435</v>
      </c>
      <c r="I14" s="317" t="s">
        <v>436</v>
      </c>
      <c r="J14" s="317" t="s">
        <v>412</v>
      </c>
      <c r="L14" s="125"/>
      <c r="O14" s="139"/>
      <c r="S14" s="130">
        <v>7</v>
      </c>
      <c r="V14" s="127" t="s">
        <v>302</v>
      </c>
      <c r="AK14" s="130" t="s">
        <v>317</v>
      </c>
      <c r="AL14" s="127" t="s">
        <v>304</v>
      </c>
      <c r="AM14" s="131" t="s">
        <v>309</v>
      </c>
    </row>
    <row r="15" spans="2:39">
      <c r="B15" s="120"/>
      <c r="C15" s="126" t="s">
        <v>280</v>
      </c>
      <c r="D15" s="126"/>
      <c r="E15" s="126" t="s">
        <v>427</v>
      </c>
      <c r="F15" s="126"/>
      <c r="G15" s="126" t="s">
        <v>273</v>
      </c>
      <c r="H15" s="126"/>
      <c r="J15" s="126" t="s">
        <v>316</v>
      </c>
      <c r="K15" s="126"/>
      <c r="L15" s="125">
        <v>16</v>
      </c>
      <c r="S15" s="130">
        <v>6</v>
      </c>
      <c r="T15" s="127" t="s">
        <v>314</v>
      </c>
      <c r="AK15" s="130" t="s">
        <v>313</v>
      </c>
      <c r="AL15" s="127" t="s">
        <v>304</v>
      </c>
      <c r="AM15" s="131" t="s">
        <v>309</v>
      </c>
    </row>
    <row r="16" spans="2:39">
      <c r="B16" s="120"/>
      <c r="C16" s="126"/>
      <c r="D16" s="126"/>
      <c r="E16" s="126"/>
      <c r="F16" s="126"/>
      <c r="I16" s="126"/>
      <c r="J16" s="126" t="s">
        <v>315</v>
      </c>
      <c r="K16" s="126"/>
      <c r="L16" s="125"/>
      <c r="P16" s="126"/>
      <c r="Q16" s="121"/>
      <c r="S16" s="130">
        <v>5</v>
      </c>
      <c r="AD16" s="127" t="s">
        <v>311</v>
      </c>
      <c r="AK16" s="130" t="s">
        <v>312</v>
      </c>
      <c r="AL16" s="127" t="s">
        <v>304</v>
      </c>
      <c r="AM16" s="131" t="s">
        <v>309</v>
      </c>
    </row>
    <row r="17" spans="2:39">
      <c r="B17" s="123"/>
      <c r="L17" s="125"/>
      <c r="O17" s="316" t="s">
        <v>430</v>
      </c>
      <c r="P17" s="126"/>
      <c r="S17" s="130">
        <v>4</v>
      </c>
      <c r="AD17" s="127" t="s">
        <v>311</v>
      </c>
      <c r="AK17" s="130" t="s">
        <v>310</v>
      </c>
      <c r="AL17" s="127" t="s">
        <v>304</v>
      </c>
      <c r="AM17" s="131" t="s">
        <v>309</v>
      </c>
    </row>
    <row r="18" spans="2:39">
      <c r="B18" s="120" t="s">
        <v>308</v>
      </c>
      <c r="C18" s="317" t="s">
        <v>431</v>
      </c>
      <c r="D18" s="317" t="s">
        <v>432</v>
      </c>
      <c r="E18" s="317" t="s">
        <v>411</v>
      </c>
      <c r="F18" s="317" t="s">
        <v>433</v>
      </c>
      <c r="G18" s="317" t="s">
        <v>434</v>
      </c>
      <c r="H18" s="317" t="s">
        <v>435</v>
      </c>
      <c r="I18" s="317" t="s">
        <v>436</v>
      </c>
      <c r="J18" s="317" t="s">
        <v>412</v>
      </c>
      <c r="L18" s="125"/>
      <c r="O18" s="316" t="s">
        <v>271</v>
      </c>
      <c r="P18" s="126"/>
      <c r="Q18" s="318" t="s">
        <v>134</v>
      </c>
      <c r="S18" s="130">
        <v>3</v>
      </c>
      <c r="V18" s="127" t="s">
        <v>302</v>
      </c>
      <c r="AK18" s="130" t="s">
        <v>307</v>
      </c>
      <c r="AL18" s="127" t="s">
        <v>304</v>
      </c>
      <c r="AM18" s="131" t="s">
        <v>303</v>
      </c>
    </row>
    <row r="19" spans="2:39" ht="15.75">
      <c r="B19" s="120"/>
      <c r="D19" s="126" t="s">
        <v>274</v>
      </c>
      <c r="E19" s="126" t="s">
        <v>292</v>
      </c>
      <c r="F19" s="126"/>
      <c r="G19" s="126" t="s">
        <v>273</v>
      </c>
      <c r="H19" s="126"/>
      <c r="I19" s="126"/>
      <c r="J19" s="126" t="s">
        <v>269</v>
      </c>
      <c r="K19" s="126"/>
      <c r="L19" s="125">
        <v>14</v>
      </c>
      <c r="O19" s="136">
        <f>SUBSTITUTE(E8, "STUDIOS", "") + 0</f>
        <v>10</v>
      </c>
      <c r="P19" s="126"/>
      <c r="Q19" s="136">
        <f>SUBSTITUTE(G11, "- 1 BR", "") + 0</f>
        <v>1</v>
      </c>
      <c r="S19" s="130">
        <v>2</v>
      </c>
      <c r="AE19" s="127" t="s">
        <v>306</v>
      </c>
      <c r="AK19" s="130" t="s">
        <v>305</v>
      </c>
      <c r="AL19" s="127" t="s">
        <v>304</v>
      </c>
      <c r="AM19" s="131" t="s">
        <v>303</v>
      </c>
    </row>
    <row r="20" spans="2:39" ht="15.75">
      <c r="B20" s="120"/>
      <c r="C20" s="126"/>
      <c r="D20" s="126"/>
      <c r="E20" s="126"/>
      <c r="F20" s="126"/>
      <c r="G20" s="126"/>
      <c r="H20" s="126"/>
      <c r="I20" s="126"/>
      <c r="J20" s="126" t="s">
        <v>278</v>
      </c>
      <c r="K20" s="126"/>
      <c r="L20" s="125"/>
      <c r="O20" s="136">
        <f>SUBSTITUTE(E11, "STUDIOS", "") + 0</f>
        <v>12</v>
      </c>
      <c r="P20" s="126"/>
      <c r="Q20" s="136">
        <f>SUBSTITUTE(G15, "- 1 BR", "") + 0</f>
        <v>1</v>
      </c>
      <c r="S20" s="130">
        <v>1</v>
      </c>
      <c r="V20" s="127" t="s">
        <v>302</v>
      </c>
    </row>
    <row r="21" spans="2:39" ht="15.75">
      <c r="B21" s="123"/>
      <c r="L21" s="125"/>
      <c r="O21" s="136">
        <f>SUBSTITUTE(E15, "STUDIOS", "") + 0</f>
        <v>11</v>
      </c>
      <c r="Q21" s="136">
        <f>SUBSTITUTE(G19, "- 1 BR", "") + 0</f>
        <v>1</v>
      </c>
      <c r="S21" s="130"/>
      <c r="T21" s="129" t="s">
        <v>85</v>
      </c>
      <c r="U21" s="129" t="s">
        <v>86</v>
      </c>
      <c r="V21" s="129" t="s">
        <v>87</v>
      </c>
      <c r="W21" s="129" t="s">
        <v>88</v>
      </c>
      <c r="X21" s="129" t="s">
        <v>91</v>
      </c>
      <c r="Y21" s="129" t="s">
        <v>89</v>
      </c>
      <c r="Z21" s="129" t="s">
        <v>90</v>
      </c>
      <c r="AA21" s="129" t="s">
        <v>92</v>
      </c>
      <c r="AB21" s="129" t="s">
        <v>301</v>
      </c>
      <c r="AC21" s="129" t="s">
        <v>300</v>
      </c>
      <c r="AD21" s="129" t="s">
        <v>299</v>
      </c>
      <c r="AE21" s="129" t="s">
        <v>298</v>
      </c>
      <c r="AF21" s="129" t="s">
        <v>297</v>
      </c>
      <c r="AG21" s="129" t="s">
        <v>296</v>
      </c>
      <c r="AH21" s="129" t="s">
        <v>295</v>
      </c>
      <c r="AI21" s="129" t="s">
        <v>294</v>
      </c>
    </row>
    <row r="22" spans="2:39" ht="15.75">
      <c r="B22" s="120" t="s">
        <v>293</v>
      </c>
      <c r="C22" s="317" t="s">
        <v>431</v>
      </c>
      <c r="D22" s="317" t="s">
        <v>432</v>
      </c>
      <c r="E22" s="317" t="s">
        <v>411</v>
      </c>
      <c r="F22" s="317" t="s">
        <v>433</v>
      </c>
      <c r="G22" s="317" t="s">
        <v>434</v>
      </c>
      <c r="H22" s="317" t="s">
        <v>435</v>
      </c>
      <c r="I22" s="317" t="s">
        <v>436</v>
      </c>
      <c r="J22" s="317" t="s">
        <v>412</v>
      </c>
      <c r="L22" s="125"/>
      <c r="O22" s="136">
        <f>SUBSTITUTE(E19, "STUDIOS", "") + 0</f>
        <v>7</v>
      </c>
    </row>
    <row r="23" spans="2:39" ht="15.75">
      <c r="B23" s="120"/>
      <c r="D23" s="126" t="s">
        <v>274</v>
      </c>
      <c r="E23" s="126" t="s">
        <v>292</v>
      </c>
      <c r="F23" s="126"/>
      <c r="G23" s="126"/>
      <c r="H23" s="126"/>
      <c r="I23" s="126"/>
      <c r="J23" s="126" t="s">
        <v>269</v>
      </c>
      <c r="K23" s="126"/>
      <c r="L23" s="125">
        <v>14</v>
      </c>
      <c r="O23" s="136">
        <f>SUBSTITUTE(E23, "STUDIOS", "") + 0</f>
        <v>7</v>
      </c>
      <c r="Q23" s="136"/>
    </row>
    <row r="24" spans="2:39" ht="15.75">
      <c r="B24" s="120"/>
      <c r="C24" s="126"/>
      <c r="D24" s="126"/>
      <c r="E24" s="126"/>
      <c r="F24" s="126"/>
      <c r="G24" s="126"/>
      <c r="H24" s="126"/>
      <c r="I24" s="126"/>
      <c r="J24" s="126" t="s">
        <v>428</v>
      </c>
      <c r="K24" s="126"/>
      <c r="L24" s="125"/>
      <c r="Q24" s="136">
        <f>SUBSTITUTE(G31, "- 1 BR", "") + 0</f>
        <v>1</v>
      </c>
      <c r="T24" s="128" t="s">
        <v>291</v>
      </c>
    </row>
    <row r="25" spans="2:39" ht="15.75">
      <c r="B25" s="123"/>
      <c r="K25" s="126"/>
      <c r="L25" s="125"/>
      <c r="Q25" s="136"/>
      <c r="T25" s="128" t="s">
        <v>290</v>
      </c>
    </row>
    <row r="26" spans="2:39">
      <c r="B26" s="120" t="s">
        <v>289</v>
      </c>
      <c r="C26" s="317" t="s">
        <v>431</v>
      </c>
      <c r="D26" s="317" t="s">
        <v>432</v>
      </c>
      <c r="E26" s="317" t="s">
        <v>411</v>
      </c>
      <c r="F26" s="317" t="s">
        <v>433</v>
      </c>
      <c r="G26" s="317" t="s">
        <v>434</v>
      </c>
      <c r="H26" s="317" t="s">
        <v>435</v>
      </c>
      <c r="I26" s="317" t="s">
        <v>436</v>
      </c>
      <c r="J26" s="317" t="s">
        <v>412</v>
      </c>
      <c r="K26" s="126"/>
      <c r="L26" s="125"/>
      <c r="T26" s="128" t="s">
        <v>288</v>
      </c>
    </row>
    <row r="27" spans="2:39" ht="15.75">
      <c r="B27" s="120"/>
      <c r="E27" s="126" t="s">
        <v>284</v>
      </c>
      <c r="F27" s="126" t="s">
        <v>277</v>
      </c>
      <c r="G27" s="126"/>
      <c r="H27" s="126"/>
      <c r="I27" s="126"/>
      <c r="J27" s="126" t="s">
        <v>428</v>
      </c>
      <c r="L27" s="125">
        <v>13</v>
      </c>
      <c r="O27" s="136">
        <f>SUBSTITUTE(E27, "STUDIOS", "") + 0</f>
        <v>9</v>
      </c>
      <c r="Q27" s="136">
        <f>SUBSTITUTE(F27, "- 2BR", "") + 0</f>
        <v>1</v>
      </c>
      <c r="T27" s="128" t="s">
        <v>287</v>
      </c>
    </row>
    <row r="28" spans="2:39">
      <c r="B28" s="120"/>
      <c r="C28" s="126"/>
      <c r="D28" s="126"/>
      <c r="E28" s="126"/>
      <c r="F28" s="126"/>
      <c r="G28" s="126"/>
      <c r="H28" s="126"/>
      <c r="I28" s="126"/>
      <c r="J28" s="126"/>
      <c r="K28" s="126"/>
      <c r="L28" s="125"/>
    </row>
    <row r="29" spans="2:39">
      <c r="B29" s="123"/>
      <c r="K29" s="126"/>
      <c r="L29" s="125"/>
    </row>
    <row r="30" spans="2:39">
      <c r="B30" s="120" t="s">
        <v>286</v>
      </c>
      <c r="C30" s="317" t="s">
        <v>431</v>
      </c>
      <c r="D30" s="317" t="s">
        <v>432</v>
      </c>
      <c r="E30" s="317" t="s">
        <v>411</v>
      </c>
      <c r="F30" s="317" t="s">
        <v>433</v>
      </c>
      <c r="G30" s="317" t="s">
        <v>434</v>
      </c>
      <c r="H30" s="317" t="s">
        <v>435</v>
      </c>
      <c r="I30" s="317" t="s">
        <v>436</v>
      </c>
      <c r="J30" s="317" t="s">
        <v>412</v>
      </c>
      <c r="K30" s="126"/>
      <c r="L30" s="125"/>
    </row>
    <row r="31" spans="2:39" ht="15.75">
      <c r="B31" s="120"/>
      <c r="C31" s="126" t="s">
        <v>280</v>
      </c>
      <c r="E31" s="126" t="s">
        <v>279</v>
      </c>
      <c r="G31" s="126" t="s">
        <v>273</v>
      </c>
      <c r="H31" s="126"/>
      <c r="I31" s="126"/>
      <c r="J31" s="126" t="s">
        <v>278</v>
      </c>
      <c r="L31" s="125">
        <v>13</v>
      </c>
      <c r="O31" s="136">
        <f>SUBSTITUTE(E31, "STUDIOS", "") + 0</f>
        <v>8</v>
      </c>
    </row>
    <row r="32" spans="2:39" ht="15.75">
      <c r="B32" s="120"/>
      <c r="C32" s="126"/>
      <c r="D32" s="126"/>
      <c r="E32" s="126"/>
      <c r="F32" s="126"/>
      <c r="H32" s="126"/>
      <c r="I32" s="126"/>
      <c r="J32" s="126" t="s">
        <v>277</v>
      </c>
      <c r="L32" s="125"/>
      <c r="Q32" s="136">
        <f>SUBSTITUTE(J32, "- 2BR", "") + 0</f>
        <v>1</v>
      </c>
    </row>
    <row r="33" spans="2:17">
      <c r="B33" s="123"/>
      <c r="L33" s="125"/>
    </row>
    <row r="34" spans="2:17">
      <c r="B34" s="120" t="s">
        <v>285</v>
      </c>
      <c r="C34" s="317" t="s">
        <v>431</v>
      </c>
      <c r="D34" s="317" t="s">
        <v>432</v>
      </c>
      <c r="E34" s="317" t="s">
        <v>411</v>
      </c>
      <c r="F34" s="317" t="s">
        <v>433</v>
      </c>
      <c r="G34" s="317" t="s">
        <v>434</v>
      </c>
      <c r="H34" s="317" t="s">
        <v>435</v>
      </c>
      <c r="I34" s="317" t="s">
        <v>436</v>
      </c>
      <c r="J34" s="317" t="s">
        <v>412</v>
      </c>
      <c r="L34" s="125"/>
    </row>
    <row r="35" spans="2:17" ht="15.75">
      <c r="B35" s="120"/>
      <c r="C35" s="126"/>
      <c r="E35" s="126" t="s">
        <v>284</v>
      </c>
      <c r="G35" s="126"/>
      <c r="H35" s="126"/>
      <c r="I35" s="126" t="s">
        <v>273</v>
      </c>
      <c r="J35" s="126" t="s">
        <v>278</v>
      </c>
      <c r="L35" s="125">
        <v>13</v>
      </c>
      <c r="O35" s="136">
        <f>SUBSTITUTE(E35, "STUDIOS", "") + 0</f>
        <v>9</v>
      </c>
      <c r="Q35" s="136"/>
    </row>
    <row r="36" spans="2:17" ht="15.75">
      <c r="B36" s="120"/>
      <c r="C36" s="126"/>
      <c r="D36" s="126"/>
      <c r="E36" s="126"/>
      <c r="F36" s="126"/>
      <c r="G36" s="126" t="s">
        <v>277</v>
      </c>
      <c r="H36" s="126"/>
      <c r="I36" s="126"/>
      <c r="J36" s="126"/>
      <c r="L36" s="125"/>
      <c r="Q36" s="136">
        <f>SUBSTITUTE(G36, "- 2BR", "") + 0</f>
        <v>1</v>
      </c>
    </row>
    <row r="37" spans="2:17">
      <c r="B37" s="123"/>
      <c r="L37" s="125"/>
    </row>
    <row r="38" spans="2:17">
      <c r="B38" s="120" t="s">
        <v>283</v>
      </c>
      <c r="C38" s="317" t="s">
        <v>431</v>
      </c>
      <c r="D38" s="317" t="s">
        <v>432</v>
      </c>
      <c r="E38" s="317" t="s">
        <v>411</v>
      </c>
      <c r="F38" s="317" t="s">
        <v>433</v>
      </c>
      <c r="G38" s="317" t="s">
        <v>434</v>
      </c>
      <c r="H38" s="317" t="s">
        <v>435</v>
      </c>
      <c r="I38" s="317" t="s">
        <v>436</v>
      </c>
      <c r="J38" s="317" t="s">
        <v>412</v>
      </c>
      <c r="L38" s="125"/>
    </row>
    <row r="39" spans="2:17" ht="15.75">
      <c r="B39" s="120"/>
      <c r="C39" s="126" t="s">
        <v>280</v>
      </c>
      <c r="E39" s="126" t="s">
        <v>279</v>
      </c>
      <c r="G39" s="126" t="s">
        <v>273</v>
      </c>
      <c r="H39" s="126"/>
      <c r="I39" s="126"/>
      <c r="J39" s="126" t="s">
        <v>278</v>
      </c>
      <c r="L39" s="125">
        <v>13</v>
      </c>
      <c r="O39" s="136">
        <f>SUBSTITUTE(E39, "STUDIOS", "") + 0</f>
        <v>8</v>
      </c>
      <c r="Q39" s="136">
        <f>SUBSTITUTE(G39, "- 1 BR", "") + 0</f>
        <v>1</v>
      </c>
    </row>
    <row r="40" spans="2:17">
      <c r="B40" s="120"/>
      <c r="C40" s="126"/>
      <c r="D40" s="126"/>
      <c r="E40" s="126"/>
      <c r="F40" s="126"/>
      <c r="H40" s="126"/>
      <c r="I40" s="126"/>
      <c r="J40" s="126" t="s">
        <v>277</v>
      </c>
      <c r="L40" s="125"/>
    </row>
    <row r="41" spans="2:17">
      <c r="B41" s="123"/>
      <c r="L41" s="125"/>
    </row>
    <row r="42" spans="2:17">
      <c r="B42" s="120" t="s">
        <v>282</v>
      </c>
      <c r="C42" s="317" t="s">
        <v>431</v>
      </c>
      <c r="D42" s="317" t="s">
        <v>432</v>
      </c>
      <c r="E42" s="317" t="s">
        <v>411</v>
      </c>
      <c r="F42" s="317" t="s">
        <v>433</v>
      </c>
      <c r="G42" s="317" t="s">
        <v>434</v>
      </c>
      <c r="H42" s="317" t="s">
        <v>435</v>
      </c>
      <c r="I42" s="317" t="s">
        <v>436</v>
      </c>
      <c r="J42" s="317" t="s">
        <v>412</v>
      </c>
      <c r="L42" s="125"/>
    </row>
    <row r="43" spans="2:17" ht="15.75">
      <c r="B43" s="120"/>
      <c r="D43" s="126" t="s">
        <v>280</v>
      </c>
      <c r="E43" s="126" t="s">
        <v>279</v>
      </c>
      <c r="G43" s="126" t="s">
        <v>273</v>
      </c>
      <c r="H43" s="126"/>
      <c r="I43" s="126"/>
      <c r="J43" s="126" t="s">
        <v>278</v>
      </c>
      <c r="L43" s="125">
        <v>13</v>
      </c>
      <c r="O43" s="136">
        <f>SUBSTITUTE(E43, "STUDIOS", "") + 0</f>
        <v>8</v>
      </c>
      <c r="Q43" s="136">
        <f>SUBSTITUTE(G43, "- 1 BR", "") + 0</f>
        <v>1</v>
      </c>
    </row>
    <row r="44" spans="2:17">
      <c r="B44" s="120"/>
      <c r="C44" s="126"/>
      <c r="D44" s="126"/>
      <c r="E44" s="126"/>
      <c r="F44" s="126"/>
      <c r="H44" s="126"/>
      <c r="I44" s="126"/>
      <c r="J44" s="126" t="s">
        <v>277</v>
      </c>
      <c r="L44" s="125"/>
    </row>
    <row r="45" spans="2:17">
      <c r="B45" s="123"/>
      <c r="L45" s="125"/>
    </row>
    <row r="46" spans="2:17">
      <c r="B46" s="120" t="s">
        <v>281</v>
      </c>
      <c r="C46" s="317" t="s">
        <v>431</v>
      </c>
      <c r="D46" s="317" t="s">
        <v>432</v>
      </c>
      <c r="E46" s="317" t="s">
        <v>411</v>
      </c>
      <c r="F46" s="317" t="s">
        <v>433</v>
      </c>
      <c r="G46" s="317" t="s">
        <v>434</v>
      </c>
      <c r="H46" s="317" t="s">
        <v>435</v>
      </c>
      <c r="I46" s="317" t="s">
        <v>436</v>
      </c>
      <c r="J46" s="317" t="s">
        <v>412</v>
      </c>
      <c r="L46" s="125"/>
    </row>
    <row r="47" spans="2:17" ht="15.75">
      <c r="B47" s="120"/>
      <c r="C47" s="126" t="s">
        <v>280</v>
      </c>
      <c r="E47" s="126" t="s">
        <v>279</v>
      </c>
      <c r="G47" s="126"/>
      <c r="H47" s="126"/>
      <c r="I47" s="126"/>
      <c r="J47" s="126" t="s">
        <v>428</v>
      </c>
      <c r="L47" s="125">
        <v>13</v>
      </c>
      <c r="O47" s="136">
        <f>SUBSTITUTE(E47, "STUDIOS", "") + 0</f>
        <v>8</v>
      </c>
      <c r="Q47" s="136"/>
    </row>
    <row r="48" spans="2:17" ht="15.75">
      <c r="B48" s="120"/>
      <c r="C48" s="126"/>
      <c r="D48" s="126"/>
      <c r="E48" s="126"/>
      <c r="F48" s="126"/>
      <c r="H48" s="126"/>
      <c r="I48" s="126"/>
      <c r="J48" s="126" t="s">
        <v>277</v>
      </c>
      <c r="L48" s="125"/>
      <c r="Q48" s="136"/>
    </row>
    <row r="49" spans="2:17">
      <c r="B49" s="123"/>
      <c r="L49" s="125"/>
    </row>
    <row r="50" spans="2:17">
      <c r="B50" s="120" t="s">
        <v>276</v>
      </c>
      <c r="C50" s="317" t="s">
        <v>431</v>
      </c>
      <c r="D50" s="317" t="s">
        <v>432</v>
      </c>
      <c r="E50" s="317" t="s">
        <v>411</v>
      </c>
      <c r="F50" s="317" t="s">
        <v>433</v>
      </c>
      <c r="G50" s="317" t="s">
        <v>434</v>
      </c>
      <c r="H50" s="317" t="s">
        <v>435</v>
      </c>
      <c r="I50" s="317" t="s">
        <v>436</v>
      </c>
      <c r="J50" s="317" t="s">
        <v>412</v>
      </c>
      <c r="L50" s="125"/>
    </row>
    <row r="51" spans="2:17" ht="15.75">
      <c r="B51" s="123"/>
      <c r="D51" s="126"/>
      <c r="E51" s="126" t="s">
        <v>280</v>
      </c>
      <c r="G51" s="126" t="s">
        <v>429</v>
      </c>
      <c r="H51" s="126"/>
      <c r="I51" s="126" t="s">
        <v>268</v>
      </c>
      <c r="J51" s="126" t="s">
        <v>273</v>
      </c>
      <c r="L51" s="125">
        <v>9</v>
      </c>
      <c r="O51" s="136">
        <f>SUBSTITUTE(E51, "STUDIOS", "") + 0</f>
        <v>1</v>
      </c>
      <c r="Q51" s="136">
        <f>SUBSTITUTE(G51, " - 3 BR", "") + 0</f>
        <v>2</v>
      </c>
    </row>
    <row r="52" spans="2:17">
      <c r="B52" s="123"/>
      <c r="I52" s="126"/>
      <c r="J52" s="126" t="s">
        <v>269</v>
      </c>
      <c r="L52" s="125"/>
    </row>
    <row r="53" spans="2:17">
      <c r="B53" s="123"/>
      <c r="G53" s="126"/>
      <c r="H53" s="126"/>
      <c r="I53" s="126"/>
      <c r="J53" s="126" t="s">
        <v>270</v>
      </c>
      <c r="L53" s="125"/>
    </row>
    <row r="54" spans="2:17">
      <c r="B54" s="123"/>
      <c r="G54" s="126"/>
      <c r="H54" s="126"/>
      <c r="I54" s="126"/>
      <c r="L54" s="125"/>
    </row>
    <row r="55" spans="2:17">
      <c r="B55" s="120" t="s">
        <v>275</v>
      </c>
      <c r="C55" s="317" t="s">
        <v>431</v>
      </c>
      <c r="D55" s="317" t="s">
        <v>432</v>
      </c>
      <c r="E55" s="317" t="s">
        <v>411</v>
      </c>
      <c r="F55" s="317" t="s">
        <v>433</v>
      </c>
      <c r="G55" s="317" t="s">
        <v>434</v>
      </c>
      <c r="H55" s="317" t="s">
        <v>435</v>
      </c>
      <c r="I55" s="317" t="s">
        <v>436</v>
      </c>
      <c r="J55" s="317" t="s">
        <v>412</v>
      </c>
      <c r="L55" s="125"/>
    </row>
    <row r="56" spans="2:17" ht="15.75">
      <c r="B56" s="123"/>
      <c r="D56" s="126"/>
      <c r="E56" s="126" t="s">
        <v>280</v>
      </c>
      <c r="G56" s="126" t="s">
        <v>270</v>
      </c>
      <c r="H56" s="126"/>
      <c r="I56" s="126"/>
      <c r="J56" s="126" t="s">
        <v>273</v>
      </c>
      <c r="L56" s="125">
        <v>9</v>
      </c>
      <c r="O56" s="136">
        <f>SUBSTITUTE(E56, "STUDIOS", "") + 0</f>
        <v>1</v>
      </c>
      <c r="Q56" s="136">
        <f>SUBSTITUTE(G56, " - 3 BR", "") + 0</f>
        <v>1</v>
      </c>
    </row>
    <row r="57" spans="2:17">
      <c r="B57" s="123"/>
      <c r="G57" s="126" t="s">
        <v>268</v>
      </c>
      <c r="H57" s="126"/>
      <c r="I57" s="126"/>
      <c r="J57" s="126" t="s">
        <v>269</v>
      </c>
      <c r="L57" s="125"/>
    </row>
    <row r="58" spans="2:17">
      <c r="B58" s="123"/>
      <c r="G58" s="126"/>
      <c r="H58" s="126"/>
      <c r="I58" s="126"/>
      <c r="J58" s="126" t="s">
        <v>429</v>
      </c>
      <c r="L58" s="125"/>
    </row>
    <row r="59" spans="2:17">
      <c r="B59" s="123"/>
      <c r="G59" s="126"/>
      <c r="H59" s="126"/>
      <c r="I59" s="126"/>
      <c r="L59" s="125"/>
    </row>
    <row r="60" spans="2:17">
      <c r="B60" s="120" t="s">
        <v>272</v>
      </c>
      <c r="C60" s="317" t="s">
        <v>431</v>
      </c>
      <c r="D60" s="317" t="s">
        <v>432</v>
      </c>
      <c r="E60" s="317" t="s">
        <v>411</v>
      </c>
      <c r="F60" s="317" t="s">
        <v>433</v>
      </c>
      <c r="G60" s="317" t="s">
        <v>434</v>
      </c>
      <c r="H60" s="317" t="s">
        <v>435</v>
      </c>
      <c r="I60" s="317" t="s">
        <v>436</v>
      </c>
      <c r="J60" s="317" t="s">
        <v>412</v>
      </c>
      <c r="L60" s="125"/>
    </row>
    <row r="61" spans="2:17" ht="15.75">
      <c r="B61" s="123"/>
      <c r="E61" s="126"/>
      <c r="G61" s="126" t="s">
        <v>270</v>
      </c>
      <c r="H61" s="126"/>
      <c r="I61" s="126" t="s">
        <v>270</v>
      </c>
      <c r="J61" s="126" t="s">
        <v>269</v>
      </c>
      <c r="L61" s="125">
        <v>8</v>
      </c>
      <c r="Q61" s="136">
        <f>SUBSTITUTE(G61, " - 3 BR", "") + 0</f>
        <v>1</v>
      </c>
    </row>
    <row r="62" spans="2:17" ht="15.75">
      <c r="B62" s="123"/>
      <c r="G62" s="126" t="s">
        <v>268</v>
      </c>
      <c r="H62" s="126"/>
      <c r="J62" s="126" t="s">
        <v>429</v>
      </c>
      <c r="L62" s="125"/>
      <c r="Q62" s="136">
        <f>SUBSTITUTE(G62, "- 2 BR", "") + 0</f>
        <v>1</v>
      </c>
    </row>
    <row r="63" spans="2:17">
      <c r="B63" s="123"/>
      <c r="J63" s="126"/>
      <c r="L63" s="125"/>
    </row>
    <row r="64" spans="2:17">
      <c r="B64" s="123"/>
      <c r="C64" s="317" t="s">
        <v>431</v>
      </c>
      <c r="D64" s="317" t="s">
        <v>432</v>
      </c>
      <c r="E64" s="317" t="s">
        <v>411</v>
      </c>
      <c r="F64" s="317" t="s">
        <v>433</v>
      </c>
      <c r="G64" s="317" t="s">
        <v>434</v>
      </c>
      <c r="H64" s="317" t="s">
        <v>435</v>
      </c>
      <c r="I64" s="317" t="s">
        <v>436</v>
      </c>
      <c r="J64" s="317" t="s">
        <v>412</v>
      </c>
      <c r="L64" s="125"/>
    </row>
    <row r="65" spans="2:17">
      <c r="B65" s="315" t="s">
        <v>106</v>
      </c>
      <c r="C65" s="124">
        <v>5</v>
      </c>
      <c r="D65" s="124">
        <v>3</v>
      </c>
      <c r="E65" s="124">
        <v>99</v>
      </c>
      <c r="F65" s="124">
        <v>1</v>
      </c>
      <c r="G65" s="124">
        <v>13</v>
      </c>
      <c r="H65" s="124">
        <v>1</v>
      </c>
      <c r="I65" s="124">
        <v>3</v>
      </c>
      <c r="J65" s="124">
        <v>50</v>
      </c>
      <c r="K65" s="124"/>
      <c r="L65" s="124">
        <f>SUM(L8:L61)</f>
        <v>175</v>
      </c>
      <c r="O65" s="119">
        <f>SUM(O19:O56)</f>
        <v>99</v>
      </c>
      <c r="Q65" s="119">
        <f>SUM(Q19:Q62)</f>
        <v>14</v>
      </c>
    </row>
    <row r="66" spans="2:17">
      <c r="B66" s="123"/>
    </row>
    <row r="67" spans="2:17">
      <c r="B67" s="122" t="s">
        <v>130</v>
      </c>
      <c r="C67" s="121">
        <f>C65/L65</f>
        <v>2.8571428571428571E-2</v>
      </c>
      <c r="D67" s="121">
        <f>D65/L65</f>
        <v>1.7142857142857144E-2</v>
      </c>
      <c r="E67" s="121">
        <f>E65/L65</f>
        <v>0.56571428571428573</v>
      </c>
      <c r="F67" s="121">
        <f>F65/L65</f>
        <v>5.7142857142857143E-3</v>
      </c>
      <c r="G67" s="121">
        <f>G65/L65</f>
        <v>7.4285714285714288E-2</v>
      </c>
      <c r="H67" s="121">
        <f>H65/L65</f>
        <v>5.7142857142857143E-3</v>
      </c>
      <c r="I67" s="121">
        <f>I65/L65</f>
        <v>1.7142857142857144E-2</v>
      </c>
      <c r="J67" s="121">
        <f>J65/L65</f>
        <v>0.2857142857142857</v>
      </c>
      <c r="L67" s="121">
        <f>SUM(C67:J67)</f>
        <v>0.99999999999999989</v>
      </c>
      <c r="N67" s="316"/>
    </row>
    <row r="68" spans="2:17">
      <c r="B68" s="126"/>
    </row>
    <row r="77" spans="2:17" ht="15.75">
      <c r="E77" s="136"/>
    </row>
  </sheetData>
  <pageMargins left="0.7" right="0.7" top="0.75" bottom="0.75" header="0.3" footer="0.3"/>
  <pageSetup paperSize="119" scale="5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13D16-4150-47DB-AF59-E009F5841B86}">
  <dimension ref="A1:D139"/>
  <sheetViews>
    <sheetView zoomScale="115" zoomScaleNormal="115" workbookViewId="0">
      <selection activeCell="A3" sqref="A3:B109"/>
    </sheetView>
  </sheetViews>
  <sheetFormatPr defaultRowHeight="15"/>
  <cols>
    <col min="1" max="1" width="9.140625" style="342"/>
    <col min="2" max="3" width="9.140625" style="342" customWidth="1"/>
    <col min="4" max="16384" width="9.140625" style="342"/>
  </cols>
  <sheetData>
    <row r="1" spans="1:4">
      <c r="A1" s="342" t="s">
        <v>589</v>
      </c>
    </row>
    <row r="2" spans="1:4">
      <c r="A2" s="342" t="s">
        <v>356</v>
      </c>
      <c r="B2" s="342" t="s">
        <v>82</v>
      </c>
      <c r="C2" s="342" t="s">
        <v>380</v>
      </c>
    </row>
    <row r="3" spans="1:4">
      <c r="A3" s="342" t="s">
        <v>588</v>
      </c>
      <c r="B3" s="342">
        <v>370.4</v>
      </c>
    </row>
    <row r="4" spans="1:4">
      <c r="A4" s="342" t="s">
        <v>587</v>
      </c>
      <c r="B4" s="342">
        <v>364.3</v>
      </c>
    </row>
    <row r="5" spans="1:4" ht="15.75">
      <c r="A5" s="342" t="s">
        <v>586</v>
      </c>
      <c r="B5" s="342">
        <v>388.33</v>
      </c>
      <c r="D5" s="343"/>
    </row>
    <row r="6" spans="1:4" ht="15.75">
      <c r="A6" s="342" t="s">
        <v>585</v>
      </c>
      <c r="B6" s="342">
        <v>398.02</v>
      </c>
      <c r="D6" s="343"/>
    </row>
    <row r="7" spans="1:4" ht="15.75">
      <c r="A7" s="342" t="s">
        <v>584</v>
      </c>
      <c r="B7" s="342">
        <v>408.97</v>
      </c>
      <c r="D7" s="343"/>
    </row>
    <row r="8" spans="1:4" ht="15.75">
      <c r="A8" s="342" t="s">
        <v>583</v>
      </c>
      <c r="B8" s="342">
        <v>351.78</v>
      </c>
      <c r="D8" s="343"/>
    </row>
    <row r="9" spans="1:4" ht="15.75">
      <c r="A9" s="342" t="s">
        <v>582</v>
      </c>
      <c r="B9" s="342">
        <v>357.21</v>
      </c>
      <c r="D9" s="343"/>
    </row>
    <row r="10" spans="1:4" ht="15.75">
      <c r="A10" s="342" t="s">
        <v>581</v>
      </c>
      <c r="B10" s="342">
        <v>393.65</v>
      </c>
      <c r="D10" s="343"/>
    </row>
    <row r="11" spans="1:4" ht="15.75">
      <c r="A11" s="342" t="s">
        <v>580</v>
      </c>
      <c r="B11" s="342">
        <v>392.67</v>
      </c>
      <c r="D11" s="343"/>
    </row>
    <row r="12" spans="1:4" ht="15.75">
      <c r="A12" s="342" t="s">
        <v>579</v>
      </c>
      <c r="B12" s="342">
        <v>369.58</v>
      </c>
      <c r="D12" s="343"/>
    </row>
    <row r="13" spans="1:4" ht="15.75">
      <c r="A13" s="342" t="s">
        <v>578</v>
      </c>
      <c r="B13" s="342">
        <v>347.14</v>
      </c>
      <c r="D13" s="343"/>
    </row>
    <row r="14" spans="1:4" ht="15.75">
      <c r="A14" s="342" t="s">
        <v>577</v>
      </c>
      <c r="B14" s="342">
        <v>359.45</v>
      </c>
      <c r="D14" s="343"/>
    </row>
    <row r="15" spans="1:4" ht="15.75">
      <c r="A15" s="342" t="s">
        <v>576</v>
      </c>
      <c r="B15" s="342">
        <v>356.05</v>
      </c>
      <c r="D15" s="343"/>
    </row>
    <row r="16" spans="1:4">
      <c r="A16" s="342" t="s">
        <v>575</v>
      </c>
      <c r="B16" s="342">
        <v>373.68</v>
      </c>
    </row>
    <row r="17" spans="1:4">
      <c r="A17" s="342" t="s">
        <v>574</v>
      </c>
      <c r="B17" s="342">
        <v>392.91</v>
      </c>
    </row>
    <row r="18" spans="1:4" ht="15.75">
      <c r="A18" s="342" t="s">
        <v>573</v>
      </c>
      <c r="B18" s="342">
        <v>387.21</v>
      </c>
      <c r="D18" s="343"/>
    </row>
    <row r="19" spans="1:4" ht="15.75">
      <c r="A19" s="342" t="s">
        <v>572</v>
      </c>
      <c r="B19" s="342">
        <v>393.95</v>
      </c>
      <c r="D19" s="343"/>
    </row>
    <row r="20" spans="1:4" ht="15.75">
      <c r="A20" s="342" t="s">
        <v>571</v>
      </c>
      <c r="B20" s="342">
        <v>384.43</v>
      </c>
      <c r="D20" s="343"/>
    </row>
    <row r="21" spans="1:4" ht="15.75">
      <c r="A21" s="342" t="s">
        <v>570</v>
      </c>
      <c r="B21" s="342">
        <v>376.83</v>
      </c>
      <c r="D21" s="343"/>
    </row>
    <row r="22" spans="1:4" ht="15.75">
      <c r="A22" s="342" t="s">
        <v>569</v>
      </c>
      <c r="B22" s="342">
        <v>391.53</v>
      </c>
      <c r="D22" s="343"/>
    </row>
    <row r="23" spans="1:4" ht="15.75">
      <c r="A23" s="342" t="s">
        <v>568</v>
      </c>
      <c r="B23" s="342">
        <v>352.84</v>
      </c>
      <c r="D23" s="343"/>
    </row>
    <row r="24" spans="1:4" ht="15.75">
      <c r="A24" s="342" t="s">
        <v>567</v>
      </c>
      <c r="B24" s="342">
        <v>357.17</v>
      </c>
      <c r="D24" s="343"/>
    </row>
    <row r="25" spans="1:4" ht="15.75">
      <c r="A25" s="342" t="s">
        <v>566</v>
      </c>
      <c r="B25" s="342">
        <v>393.84</v>
      </c>
      <c r="D25" s="343"/>
    </row>
    <row r="26" spans="1:4" ht="15.75">
      <c r="A26" s="342" t="s">
        <v>565</v>
      </c>
      <c r="B26" s="342">
        <v>345.72</v>
      </c>
      <c r="D26" s="343"/>
    </row>
    <row r="27" spans="1:4" ht="15.75">
      <c r="A27" s="342" t="s">
        <v>564</v>
      </c>
      <c r="B27" s="342">
        <v>357.6</v>
      </c>
      <c r="D27" s="343"/>
    </row>
    <row r="28" spans="1:4" ht="15.75">
      <c r="A28" s="342" t="s">
        <v>563</v>
      </c>
      <c r="B28" s="342">
        <v>373.68</v>
      </c>
      <c r="D28" s="343"/>
    </row>
    <row r="29" spans="1:4" ht="15.75">
      <c r="A29" s="342" t="s">
        <v>562</v>
      </c>
      <c r="B29" s="342">
        <v>393.45</v>
      </c>
      <c r="D29" s="343"/>
    </row>
    <row r="30" spans="1:4">
      <c r="A30" s="342" t="s">
        <v>561</v>
      </c>
      <c r="B30" s="342">
        <v>387.21</v>
      </c>
    </row>
    <row r="31" spans="1:4">
      <c r="A31" s="342" t="s">
        <v>560</v>
      </c>
      <c r="B31" s="342">
        <v>393.95</v>
      </c>
    </row>
    <row r="32" spans="1:4" ht="15.75">
      <c r="A32" s="342" t="s">
        <v>385</v>
      </c>
      <c r="B32" s="342">
        <v>384.43</v>
      </c>
      <c r="D32" s="343"/>
    </row>
    <row r="33" spans="1:4" ht="15.75">
      <c r="A33" s="342" t="s">
        <v>559</v>
      </c>
      <c r="B33" s="342">
        <v>376.83</v>
      </c>
      <c r="D33" s="343"/>
    </row>
    <row r="34" spans="1:4" ht="15.75">
      <c r="A34" s="342" t="s">
        <v>558</v>
      </c>
      <c r="B34" s="342">
        <v>391.53</v>
      </c>
      <c r="D34" s="343"/>
    </row>
    <row r="35" spans="1:4" ht="15.75">
      <c r="A35" s="342" t="s">
        <v>557</v>
      </c>
      <c r="B35" s="342">
        <v>352.84</v>
      </c>
      <c r="D35" s="343"/>
    </row>
    <row r="36" spans="1:4" ht="15.75">
      <c r="A36" s="342" t="s">
        <v>556</v>
      </c>
      <c r="B36" s="342">
        <v>357.17</v>
      </c>
      <c r="D36" s="343"/>
    </row>
    <row r="37" spans="1:4" ht="15.75">
      <c r="A37" s="342" t="s">
        <v>555</v>
      </c>
      <c r="B37" s="342">
        <v>393.84</v>
      </c>
      <c r="D37" s="343"/>
    </row>
    <row r="38" spans="1:4" ht="15.75">
      <c r="A38" s="342" t="s">
        <v>554</v>
      </c>
      <c r="B38" s="342">
        <v>335.68</v>
      </c>
      <c r="D38" s="343"/>
    </row>
    <row r="39" spans="1:4" ht="15.75">
      <c r="A39" s="342" t="s">
        <v>553</v>
      </c>
      <c r="B39" s="342">
        <v>372.13</v>
      </c>
      <c r="D39" s="343"/>
    </row>
    <row r="40" spans="1:4" ht="15.75">
      <c r="A40" s="342" t="s">
        <v>552</v>
      </c>
      <c r="B40" s="342">
        <v>341.52</v>
      </c>
      <c r="D40" s="343"/>
    </row>
    <row r="41" spans="1:4" ht="15.75">
      <c r="A41" s="342" t="s">
        <v>551</v>
      </c>
      <c r="B41" s="342">
        <v>326.7</v>
      </c>
      <c r="D41" s="343"/>
    </row>
    <row r="42" spans="1:4" ht="15.75">
      <c r="A42" s="342" t="s">
        <v>550</v>
      </c>
      <c r="B42" s="342">
        <v>340.15</v>
      </c>
      <c r="D42" s="343"/>
    </row>
    <row r="43" spans="1:4" ht="15.75">
      <c r="A43" s="342" t="s">
        <v>549</v>
      </c>
      <c r="B43" s="342">
        <v>341.72</v>
      </c>
      <c r="D43" s="343"/>
    </row>
    <row r="44" spans="1:4">
      <c r="A44" s="342" t="s">
        <v>548</v>
      </c>
      <c r="B44" s="342">
        <v>335.72</v>
      </c>
    </row>
    <row r="45" spans="1:4">
      <c r="A45" s="342" t="s">
        <v>547</v>
      </c>
      <c r="B45" s="342">
        <v>340.12</v>
      </c>
    </row>
    <row r="46" spans="1:4" ht="15.75">
      <c r="A46" s="342" t="s">
        <v>546</v>
      </c>
      <c r="B46" s="342">
        <v>335.68</v>
      </c>
      <c r="D46" s="343"/>
    </row>
    <row r="47" spans="1:4" ht="15.75">
      <c r="A47" s="342" t="s">
        <v>545</v>
      </c>
      <c r="B47" s="342">
        <v>372.13</v>
      </c>
      <c r="D47" s="343"/>
    </row>
    <row r="48" spans="1:4" ht="15.75">
      <c r="A48" s="342" t="s">
        <v>544</v>
      </c>
      <c r="B48" s="342">
        <v>341.52</v>
      </c>
      <c r="D48" s="343"/>
    </row>
    <row r="49" spans="1:4" ht="15.75">
      <c r="A49" s="342" t="s">
        <v>543</v>
      </c>
      <c r="B49" s="342">
        <v>326.7</v>
      </c>
      <c r="D49" s="343"/>
    </row>
    <row r="50" spans="1:4" ht="15.75">
      <c r="A50" s="342" t="s">
        <v>542</v>
      </c>
      <c r="B50" s="342">
        <v>359.52</v>
      </c>
      <c r="D50" s="343"/>
    </row>
    <row r="51" spans="1:4" ht="15.75">
      <c r="A51" s="342" t="s">
        <v>541</v>
      </c>
      <c r="B51" s="342">
        <v>323.89</v>
      </c>
      <c r="D51" s="343"/>
    </row>
    <row r="52" spans="1:4" ht="15.75">
      <c r="A52" s="342" t="s">
        <v>540</v>
      </c>
      <c r="B52" s="342">
        <v>335.72</v>
      </c>
      <c r="D52" s="343"/>
    </row>
    <row r="53" spans="1:4" ht="15.75">
      <c r="A53" s="342" t="s">
        <v>539</v>
      </c>
      <c r="B53" s="342">
        <v>349.03</v>
      </c>
      <c r="D53" s="343"/>
    </row>
    <row r="54" spans="1:4">
      <c r="A54" s="342" t="s">
        <v>538</v>
      </c>
      <c r="B54" s="342">
        <v>360.27</v>
      </c>
    </row>
    <row r="55" spans="1:4">
      <c r="A55" s="342" t="s">
        <v>537</v>
      </c>
      <c r="B55" s="342">
        <v>347.57</v>
      </c>
    </row>
    <row r="56" spans="1:4" ht="15.75">
      <c r="A56" s="342" t="s">
        <v>536</v>
      </c>
      <c r="B56" s="342">
        <v>385.13</v>
      </c>
      <c r="D56" s="343"/>
    </row>
    <row r="57" spans="1:4" ht="15.75">
      <c r="A57" s="342" t="s">
        <v>535</v>
      </c>
      <c r="B57" s="342">
        <v>349.03</v>
      </c>
      <c r="D57" s="343"/>
    </row>
    <row r="58" spans="1:4" ht="15.75">
      <c r="A58" s="342" t="s">
        <v>534</v>
      </c>
      <c r="B58" s="342">
        <v>335.72</v>
      </c>
      <c r="D58" s="343"/>
    </row>
    <row r="59" spans="1:4" ht="15.75">
      <c r="A59" s="342" t="s">
        <v>533</v>
      </c>
      <c r="B59" s="342">
        <v>323.89</v>
      </c>
      <c r="D59" s="343"/>
    </row>
    <row r="60" spans="1:4" ht="15.75">
      <c r="A60" s="342" t="s">
        <v>532</v>
      </c>
      <c r="B60" s="342">
        <v>359.52</v>
      </c>
      <c r="D60" s="343"/>
    </row>
    <row r="61" spans="1:4" ht="15.75">
      <c r="A61" s="342" t="s">
        <v>531</v>
      </c>
      <c r="B61" s="342">
        <v>326.7</v>
      </c>
      <c r="D61" s="343"/>
    </row>
    <row r="62" spans="1:4" ht="15.75">
      <c r="A62" s="342" t="s">
        <v>530</v>
      </c>
      <c r="B62" s="342">
        <v>341.52</v>
      </c>
      <c r="D62" s="343"/>
    </row>
    <row r="63" spans="1:4" ht="15.75">
      <c r="A63" s="342" t="s">
        <v>529</v>
      </c>
      <c r="B63" s="342">
        <v>360.27</v>
      </c>
      <c r="D63" s="343"/>
    </row>
    <row r="64" spans="1:4">
      <c r="A64" s="342" t="s">
        <v>528</v>
      </c>
      <c r="B64" s="342">
        <v>347.57</v>
      </c>
    </row>
    <row r="65" spans="1:4">
      <c r="A65" s="342" t="s">
        <v>527</v>
      </c>
      <c r="B65" s="342">
        <v>385.13</v>
      </c>
    </row>
    <row r="66" spans="1:4" ht="15.75">
      <c r="A66" s="342" t="s">
        <v>526</v>
      </c>
      <c r="B66" s="342">
        <v>349.03</v>
      </c>
      <c r="D66" s="343"/>
    </row>
    <row r="67" spans="1:4" ht="15.75">
      <c r="A67" s="342" t="s">
        <v>525</v>
      </c>
      <c r="B67" s="342">
        <v>335.72</v>
      </c>
      <c r="D67" s="343"/>
    </row>
    <row r="68" spans="1:4" ht="15.75">
      <c r="A68" s="342" t="s">
        <v>524</v>
      </c>
      <c r="B68" s="342">
        <v>341.72</v>
      </c>
      <c r="D68" s="343"/>
    </row>
    <row r="69" spans="1:4" ht="15.75">
      <c r="A69" s="342" t="s">
        <v>523</v>
      </c>
      <c r="B69" s="342">
        <v>340.15</v>
      </c>
      <c r="D69" s="343"/>
    </row>
    <row r="70" spans="1:4" ht="15.75">
      <c r="A70" s="342" t="s">
        <v>522</v>
      </c>
      <c r="B70" s="342">
        <v>326.7</v>
      </c>
      <c r="D70" s="343"/>
    </row>
    <row r="71" spans="1:4" ht="15.75">
      <c r="A71" s="342" t="s">
        <v>521</v>
      </c>
      <c r="B71" s="342">
        <v>341.52</v>
      </c>
      <c r="D71" s="343"/>
    </row>
    <row r="72" spans="1:4" ht="15.75">
      <c r="A72" s="342" t="s">
        <v>520</v>
      </c>
      <c r="B72" s="342">
        <v>360.27</v>
      </c>
      <c r="D72" s="343"/>
    </row>
    <row r="73" spans="1:4" ht="15.75">
      <c r="A73" s="342" t="s">
        <v>519</v>
      </c>
      <c r="B73" s="342">
        <v>347.57</v>
      </c>
      <c r="D73" s="343"/>
    </row>
    <row r="74" spans="1:4" ht="15.75">
      <c r="A74" s="342" t="s">
        <v>518</v>
      </c>
      <c r="B74" s="342">
        <v>385.13</v>
      </c>
      <c r="D74" s="343"/>
    </row>
    <row r="75" spans="1:4">
      <c r="A75" s="342" t="s">
        <v>517</v>
      </c>
      <c r="B75" s="342">
        <v>349.03</v>
      </c>
    </row>
    <row r="76" spans="1:4">
      <c r="A76" s="342" t="s">
        <v>516</v>
      </c>
      <c r="B76" s="342">
        <v>335.72</v>
      </c>
    </row>
    <row r="77" spans="1:4" ht="15.75">
      <c r="A77" s="342" t="s">
        <v>515</v>
      </c>
      <c r="B77" s="342">
        <v>341.72</v>
      </c>
      <c r="D77" s="343"/>
    </row>
    <row r="78" spans="1:4" ht="15.75">
      <c r="A78" s="342" t="s">
        <v>514</v>
      </c>
      <c r="B78" s="342">
        <v>340.15</v>
      </c>
      <c r="D78" s="343"/>
    </row>
    <row r="79" spans="1:4" ht="15.75">
      <c r="A79" s="342" t="s">
        <v>513</v>
      </c>
      <c r="B79" s="342">
        <v>326.7</v>
      </c>
      <c r="D79" s="343"/>
    </row>
    <row r="80" spans="1:4" ht="15.75">
      <c r="A80" s="342" t="s">
        <v>512</v>
      </c>
      <c r="B80" s="342">
        <v>341.52</v>
      </c>
      <c r="D80" s="343"/>
    </row>
    <row r="81" spans="1:4" ht="15.75">
      <c r="A81" s="342" t="s">
        <v>511</v>
      </c>
      <c r="B81" s="342">
        <v>360.27</v>
      </c>
      <c r="D81" s="343"/>
    </row>
    <row r="82" spans="1:4" ht="15.75">
      <c r="A82" s="342" t="s">
        <v>510</v>
      </c>
      <c r="B82" s="342">
        <v>347.57</v>
      </c>
      <c r="D82" s="343"/>
    </row>
    <row r="83" spans="1:4" ht="15.75">
      <c r="A83" s="342" t="s">
        <v>509</v>
      </c>
      <c r="B83" s="342">
        <v>385.13</v>
      </c>
      <c r="D83" s="343"/>
    </row>
    <row r="84" spans="1:4" ht="15.75">
      <c r="A84" s="342" t="s">
        <v>508</v>
      </c>
      <c r="B84" s="342">
        <v>349.03</v>
      </c>
      <c r="D84" s="343"/>
    </row>
    <row r="85" spans="1:4" ht="15.75">
      <c r="A85" s="342" t="s">
        <v>507</v>
      </c>
      <c r="B85" s="342">
        <v>335.72</v>
      </c>
      <c r="D85" s="343"/>
    </row>
    <row r="86" spans="1:4" ht="15.75">
      <c r="A86" s="342" t="s">
        <v>506</v>
      </c>
      <c r="B86" s="342">
        <v>341.13</v>
      </c>
      <c r="D86" s="343"/>
    </row>
    <row r="87" spans="1:4" ht="15.75">
      <c r="A87" s="342" t="s">
        <v>505</v>
      </c>
      <c r="B87" s="342">
        <v>340.81</v>
      </c>
      <c r="D87" s="343"/>
    </row>
    <row r="88" spans="1:4" ht="15.75">
      <c r="A88" s="342" t="s">
        <v>504</v>
      </c>
      <c r="B88" s="342">
        <v>326.7</v>
      </c>
      <c r="D88" s="343"/>
    </row>
    <row r="89" spans="1:4" ht="15.75">
      <c r="A89" s="342" t="s">
        <v>503</v>
      </c>
      <c r="B89" s="342">
        <v>342.09</v>
      </c>
      <c r="D89" s="343"/>
    </row>
    <row r="90" spans="1:4" ht="15.75">
      <c r="A90" s="342" t="s">
        <v>502</v>
      </c>
      <c r="B90" s="342">
        <v>360.27</v>
      </c>
      <c r="D90" s="343"/>
    </row>
    <row r="91" spans="1:4" ht="15.75">
      <c r="A91" s="342" t="s">
        <v>501</v>
      </c>
      <c r="B91" s="342">
        <v>347.57</v>
      </c>
      <c r="D91" s="343"/>
    </row>
    <row r="92" spans="1:4" ht="15.75">
      <c r="A92" s="342" t="s">
        <v>500</v>
      </c>
      <c r="B92" s="342">
        <v>385.13</v>
      </c>
      <c r="D92" s="343"/>
    </row>
    <row r="93" spans="1:4" ht="15.75">
      <c r="A93" s="342" t="s">
        <v>499</v>
      </c>
      <c r="B93" s="342">
        <v>349.03</v>
      </c>
      <c r="D93" s="343"/>
    </row>
    <row r="94" spans="1:4" ht="15.75">
      <c r="A94" s="342" t="s">
        <v>498</v>
      </c>
      <c r="B94" s="342">
        <v>335.72</v>
      </c>
      <c r="D94" s="343"/>
    </row>
    <row r="95" spans="1:4" ht="15.75">
      <c r="A95" s="342" t="s">
        <v>497</v>
      </c>
      <c r="B95" s="342">
        <v>341.72</v>
      </c>
      <c r="D95" s="343"/>
    </row>
    <row r="96" spans="1:4" ht="15.75">
      <c r="A96" s="342" t="s">
        <v>496</v>
      </c>
      <c r="B96" s="342">
        <v>340.15</v>
      </c>
      <c r="D96" s="343"/>
    </row>
    <row r="97" spans="1:4" ht="15.75">
      <c r="A97" s="342" t="s">
        <v>495</v>
      </c>
      <c r="B97" s="342">
        <v>326.7</v>
      </c>
      <c r="D97" s="343"/>
    </row>
    <row r="98" spans="1:4" ht="15.75">
      <c r="A98" s="342" t="s">
        <v>494</v>
      </c>
      <c r="B98" s="342">
        <v>342.09</v>
      </c>
      <c r="D98" s="343"/>
    </row>
    <row r="99" spans="1:4" ht="15.75">
      <c r="A99" s="342" t="s">
        <v>493</v>
      </c>
      <c r="B99" s="342">
        <v>360.27</v>
      </c>
      <c r="D99" s="343"/>
    </row>
    <row r="100" spans="1:4" ht="15.75">
      <c r="A100" s="342" t="s">
        <v>492</v>
      </c>
      <c r="B100" s="342">
        <v>347.57</v>
      </c>
      <c r="D100" s="343"/>
    </row>
    <row r="101" spans="1:4" ht="15.75">
      <c r="A101" s="342" t="s">
        <v>491</v>
      </c>
      <c r="B101" s="342">
        <v>385.13</v>
      </c>
      <c r="D101" s="343"/>
    </row>
    <row r="102" spans="1:4" ht="15.75">
      <c r="A102" s="342" t="s">
        <v>490</v>
      </c>
      <c r="B102" s="342">
        <v>349.03</v>
      </c>
      <c r="D102" s="343"/>
    </row>
    <row r="103" spans="1:4" ht="15.75">
      <c r="A103" s="342" t="s">
        <v>489</v>
      </c>
      <c r="B103" s="342">
        <v>335.72</v>
      </c>
      <c r="D103" s="343"/>
    </row>
    <row r="104" spans="1:4" ht="15.75">
      <c r="A104" s="342" t="s">
        <v>488</v>
      </c>
      <c r="B104" s="342">
        <v>342.61</v>
      </c>
      <c r="D104" s="343"/>
    </row>
    <row r="105" spans="1:4" ht="15.75">
      <c r="A105" s="342" t="s">
        <v>487</v>
      </c>
      <c r="B105" s="342">
        <v>340.15</v>
      </c>
      <c r="D105" s="343"/>
    </row>
    <row r="106" spans="1:4" ht="15.75">
      <c r="A106" s="342" t="s">
        <v>486</v>
      </c>
      <c r="B106" s="342">
        <v>326.7</v>
      </c>
      <c r="D106" s="343"/>
    </row>
    <row r="107" spans="1:4" ht="15.75">
      <c r="A107" s="342" t="s">
        <v>485</v>
      </c>
      <c r="B107" s="342">
        <v>342.09</v>
      </c>
      <c r="D107" s="343"/>
    </row>
    <row r="108" spans="1:4" ht="15.75">
      <c r="A108" s="342" t="s">
        <v>484</v>
      </c>
      <c r="B108" s="342">
        <v>413.06</v>
      </c>
      <c r="D108" s="343"/>
    </row>
    <row r="109" spans="1:4" ht="15.75">
      <c r="A109" s="342" t="s">
        <v>397</v>
      </c>
      <c r="B109" s="342">
        <v>413.06</v>
      </c>
      <c r="D109" s="343"/>
    </row>
    <row r="110" spans="1:4" ht="15.75">
      <c r="D110" s="343"/>
    </row>
    <row r="111" spans="1:4" ht="15.75">
      <c r="D111" s="343"/>
    </row>
    <row r="112" spans="1:4" ht="15.75">
      <c r="D112" s="343"/>
    </row>
    <row r="113" spans="4:4" ht="15.75">
      <c r="D113" s="343"/>
    </row>
    <row r="114" spans="4:4" ht="15.75">
      <c r="D114" s="343"/>
    </row>
    <row r="115" spans="4:4" ht="15.75">
      <c r="D115" s="343"/>
    </row>
    <row r="116" spans="4:4" ht="15.75">
      <c r="D116" s="343"/>
    </row>
    <row r="117" spans="4:4" ht="15.75">
      <c r="D117" s="343"/>
    </row>
    <row r="118" spans="4:4" ht="15.75">
      <c r="D118" s="343"/>
    </row>
    <row r="119" spans="4:4" ht="15.75">
      <c r="D119" s="343"/>
    </row>
    <row r="120" spans="4:4" ht="15.75">
      <c r="D120" s="343"/>
    </row>
    <row r="121" spans="4:4" ht="15.75">
      <c r="D121" s="343"/>
    </row>
    <row r="122" spans="4:4" ht="15.75">
      <c r="D122" s="343"/>
    </row>
    <row r="123" spans="4:4" ht="15.75">
      <c r="D123" s="343"/>
    </row>
    <row r="124" spans="4:4" ht="15.75">
      <c r="D124" s="343"/>
    </row>
    <row r="125" spans="4:4" ht="15.75">
      <c r="D125" s="343"/>
    </row>
    <row r="126" spans="4:4" ht="15.75">
      <c r="D126" s="343"/>
    </row>
    <row r="127" spans="4:4" ht="15.75">
      <c r="D127" s="343"/>
    </row>
    <row r="128" spans="4:4" ht="15.75">
      <c r="D128" s="343"/>
    </row>
    <row r="129" spans="4:4" ht="15.75">
      <c r="D129" s="343"/>
    </row>
    <row r="130" spans="4:4" ht="15.75">
      <c r="D130" s="343"/>
    </row>
    <row r="131" spans="4:4" ht="15.75">
      <c r="D131" s="343"/>
    </row>
    <row r="132" spans="4:4" ht="15.75">
      <c r="D132" s="343"/>
    </row>
    <row r="133" spans="4:4" ht="15.75">
      <c r="D133" s="343"/>
    </row>
    <row r="134" spans="4:4" ht="15.75">
      <c r="D134" s="343"/>
    </row>
    <row r="135" spans="4:4" ht="15.75">
      <c r="D135" s="343"/>
    </row>
    <row r="136" spans="4:4" ht="15.75">
      <c r="D136" s="343"/>
    </row>
    <row r="137" spans="4:4" ht="15.75">
      <c r="D137" s="343"/>
    </row>
    <row r="138" spans="4:4" ht="15.75">
      <c r="D138" s="343"/>
    </row>
    <row r="139" spans="4:4" ht="15.75">
      <c r="D139" s="343"/>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231B5-6530-42D6-9892-7E9B208008D7}">
  <dimension ref="A1:S72"/>
  <sheetViews>
    <sheetView topLeftCell="A49" workbookViewId="0">
      <selection activeCell="D68" sqref="D68"/>
    </sheetView>
  </sheetViews>
  <sheetFormatPr defaultRowHeight="15"/>
  <sheetData>
    <row r="1" spans="1:19">
      <c r="A1" s="3" t="s">
        <v>483</v>
      </c>
      <c r="O1" s="3" t="s">
        <v>188</v>
      </c>
      <c r="P1" s="3" t="s">
        <v>375</v>
      </c>
    </row>
    <row r="2" spans="1:19">
      <c r="A2" s="3" t="s">
        <v>479</v>
      </c>
    </row>
    <row r="3" spans="1:19">
      <c r="A3" s="329">
        <v>2</v>
      </c>
      <c r="B3" s="330"/>
      <c r="C3" s="1" t="s">
        <v>381</v>
      </c>
      <c r="D3" s="1">
        <v>360.06</v>
      </c>
      <c r="E3" s="1"/>
      <c r="O3" s="2" t="s">
        <v>342</v>
      </c>
      <c r="P3" s="2" t="s">
        <v>343</v>
      </c>
      <c r="Q3" s="2" t="s">
        <v>344</v>
      </c>
      <c r="R3" s="2" t="s">
        <v>376</v>
      </c>
      <c r="S3" s="3"/>
    </row>
    <row r="4" spans="1:19" ht="15.75">
      <c r="A4" s="329">
        <v>2</v>
      </c>
      <c r="B4" s="330"/>
      <c r="C4" s="1" t="s">
        <v>382</v>
      </c>
      <c r="D4" s="1">
        <v>356.72</v>
      </c>
      <c r="E4" s="1"/>
      <c r="O4" s="119" t="s">
        <v>374</v>
      </c>
      <c r="P4" s="119" t="s">
        <v>79</v>
      </c>
      <c r="Q4" s="139" t="s">
        <v>372</v>
      </c>
      <c r="R4" s="119" t="s">
        <v>358</v>
      </c>
      <c r="S4" s="136">
        <f>SUBSTITUTE(Q4, "SF", "") + 0</f>
        <v>585.66</v>
      </c>
    </row>
    <row r="5" spans="1:19">
      <c r="A5" s="329">
        <v>3</v>
      </c>
      <c r="B5" s="330"/>
      <c r="C5" s="1" t="s">
        <v>383</v>
      </c>
      <c r="D5" s="1">
        <v>375.54</v>
      </c>
      <c r="E5" s="1"/>
      <c r="O5" s="119"/>
      <c r="P5" s="119"/>
      <c r="Q5" s="119"/>
      <c r="R5" s="119"/>
      <c r="S5" s="119"/>
    </row>
    <row r="6" spans="1:19" ht="15.75">
      <c r="A6" s="329">
        <v>3</v>
      </c>
      <c r="B6" s="330"/>
      <c r="C6" s="1" t="s">
        <v>384</v>
      </c>
      <c r="D6" s="1">
        <v>356.72</v>
      </c>
      <c r="E6" s="1"/>
      <c r="O6" s="119"/>
      <c r="P6" s="119"/>
      <c r="Q6" s="119"/>
      <c r="R6" s="119"/>
      <c r="S6" s="136"/>
    </row>
    <row r="7" spans="1:19" ht="15.75">
      <c r="A7" s="329">
        <v>4</v>
      </c>
      <c r="B7" s="330"/>
      <c r="C7" s="1" t="s">
        <v>386</v>
      </c>
      <c r="D7" s="1">
        <v>385.13</v>
      </c>
      <c r="E7" s="1"/>
      <c r="O7" s="119" t="s">
        <v>373</v>
      </c>
      <c r="P7" s="119" t="s">
        <v>79</v>
      </c>
      <c r="Q7" s="119" t="s">
        <v>372</v>
      </c>
      <c r="R7" s="119" t="s">
        <v>358</v>
      </c>
      <c r="S7" s="136">
        <f>SUBSTITUTE(Q7, "SF", "") + 0</f>
        <v>585.66</v>
      </c>
    </row>
    <row r="8" spans="1:19">
      <c r="A8" s="329">
        <v>4</v>
      </c>
      <c r="B8" s="330"/>
      <c r="C8" s="1" t="s">
        <v>387</v>
      </c>
      <c r="D8" s="1">
        <v>347.57</v>
      </c>
      <c r="E8" s="1"/>
      <c r="O8" s="119"/>
      <c r="P8" s="119"/>
      <c r="Q8" s="119"/>
      <c r="R8" s="119"/>
      <c r="S8" s="119"/>
    </row>
    <row r="9" spans="1:19" ht="15.75">
      <c r="A9" s="329">
        <v>4</v>
      </c>
      <c r="B9" s="330"/>
      <c r="C9" s="1" t="s">
        <v>388</v>
      </c>
      <c r="D9" s="1">
        <v>360.27</v>
      </c>
      <c r="E9" s="1"/>
      <c r="O9" s="119"/>
      <c r="P9" s="119"/>
      <c r="Q9" s="119"/>
      <c r="R9" s="119"/>
      <c r="S9" s="136"/>
    </row>
    <row r="10" spans="1:19">
      <c r="A10" s="329">
        <v>5</v>
      </c>
      <c r="B10" s="330"/>
      <c r="C10" s="1" t="s">
        <v>389</v>
      </c>
      <c r="D10" s="1">
        <v>385.13</v>
      </c>
      <c r="E10" s="1"/>
      <c r="O10" s="119"/>
      <c r="P10" s="119"/>
      <c r="Q10" s="119"/>
      <c r="R10" s="119"/>
      <c r="S10" s="119"/>
    </row>
    <row r="11" spans="1:19" ht="15.75">
      <c r="A11" s="329">
        <v>5</v>
      </c>
      <c r="B11" s="330"/>
      <c r="C11" s="1" t="s">
        <v>390</v>
      </c>
      <c r="D11" s="1">
        <v>347.57</v>
      </c>
      <c r="E11" s="1"/>
      <c r="O11" s="119" t="s">
        <v>371</v>
      </c>
      <c r="P11" s="119" t="s">
        <v>79</v>
      </c>
      <c r="Q11" s="119" t="s">
        <v>354</v>
      </c>
      <c r="R11" s="119" t="s">
        <v>358</v>
      </c>
      <c r="S11" s="136">
        <f t="shared" ref="S11:S52" si="0">SUBSTITUTE(Q11, "SF", "") + 0</f>
        <v>501.71</v>
      </c>
    </row>
    <row r="12" spans="1:19" ht="15.75">
      <c r="A12" s="329">
        <v>5</v>
      </c>
      <c r="B12" s="330"/>
      <c r="C12" s="1" t="s">
        <v>391</v>
      </c>
      <c r="D12" s="1">
        <v>360.27</v>
      </c>
      <c r="E12" s="1"/>
      <c r="O12" s="119"/>
      <c r="P12" s="119"/>
      <c r="Q12" s="119"/>
      <c r="R12" s="119"/>
      <c r="S12" s="136"/>
    </row>
    <row r="13" spans="1:19">
      <c r="A13" s="329">
        <v>12</v>
      </c>
      <c r="B13" s="330"/>
      <c r="C13" s="1" t="s">
        <v>392</v>
      </c>
      <c r="D13" s="1">
        <v>357.44</v>
      </c>
      <c r="E13" s="1"/>
      <c r="O13" s="119"/>
      <c r="P13" s="119"/>
      <c r="Q13" s="119"/>
      <c r="R13" s="119"/>
      <c r="S13" s="119"/>
    </row>
    <row r="14" spans="1:19">
      <c r="A14" s="329">
        <v>12</v>
      </c>
      <c r="B14" s="330"/>
      <c r="C14" s="1" t="s">
        <v>393</v>
      </c>
      <c r="D14" s="1">
        <v>358.2</v>
      </c>
      <c r="E14" s="1"/>
      <c r="O14" s="119"/>
      <c r="P14" s="119"/>
      <c r="Q14" s="119"/>
      <c r="R14" s="119"/>
      <c r="S14" s="119"/>
    </row>
    <row r="15" spans="1:19" ht="15.75">
      <c r="A15" s="329">
        <v>12</v>
      </c>
      <c r="B15" s="330"/>
      <c r="C15" s="1" t="s">
        <v>394</v>
      </c>
      <c r="D15" s="1">
        <v>372.78</v>
      </c>
      <c r="E15" s="1"/>
      <c r="O15" s="119"/>
      <c r="P15" s="119"/>
      <c r="Q15" s="119"/>
      <c r="R15" s="119"/>
      <c r="S15" s="136"/>
    </row>
    <row r="16" spans="1:19" ht="15.75">
      <c r="A16" s="329">
        <v>13</v>
      </c>
      <c r="B16" s="330"/>
      <c r="C16" s="1" t="s">
        <v>395</v>
      </c>
      <c r="D16" s="1">
        <v>357.44</v>
      </c>
      <c r="E16" s="1"/>
      <c r="O16" s="119" t="s">
        <v>370</v>
      </c>
      <c r="P16" s="119" t="s">
        <v>80</v>
      </c>
      <c r="Q16" s="316" t="s">
        <v>352</v>
      </c>
      <c r="R16" s="119" t="s">
        <v>358</v>
      </c>
      <c r="S16" s="136">
        <f>SUBSTITUTE(Q16, "SF", "") + 0</f>
        <v>726.06</v>
      </c>
    </row>
    <row r="17" spans="1:19" ht="15.75">
      <c r="A17" s="329">
        <v>13</v>
      </c>
      <c r="B17" s="330"/>
      <c r="C17" s="1" t="s">
        <v>396</v>
      </c>
      <c r="D17" s="1">
        <v>358.2</v>
      </c>
      <c r="E17" s="1"/>
      <c r="O17" s="119" t="s">
        <v>369</v>
      </c>
      <c r="P17" s="119" t="s">
        <v>79</v>
      </c>
      <c r="Q17" s="119" t="s">
        <v>355</v>
      </c>
      <c r="R17" s="119" t="s">
        <v>358</v>
      </c>
      <c r="S17" s="136">
        <f>SUBSTITUTE(Q17, "SF", "") + 0</f>
        <v>500.88</v>
      </c>
    </row>
    <row r="18" spans="1:19">
      <c r="A18" s="329">
        <v>13</v>
      </c>
      <c r="B18" s="330"/>
      <c r="C18" s="1" t="s">
        <v>398</v>
      </c>
      <c r="D18" s="1">
        <v>372.78</v>
      </c>
      <c r="E18" s="1"/>
      <c r="O18" s="119"/>
      <c r="P18" s="119"/>
      <c r="Q18" s="119"/>
      <c r="R18" s="119"/>
      <c r="S18" s="119"/>
    </row>
    <row r="19" spans="1:19" ht="15.75">
      <c r="A19" s="329">
        <v>14</v>
      </c>
      <c r="B19" s="330"/>
      <c r="C19" s="1" t="s">
        <v>399</v>
      </c>
      <c r="D19" s="1">
        <v>357.44</v>
      </c>
      <c r="E19" s="1"/>
      <c r="O19" s="119"/>
      <c r="P19" s="119"/>
      <c r="Q19" s="119"/>
      <c r="R19" s="119"/>
      <c r="S19" s="136"/>
    </row>
    <row r="20" spans="1:19">
      <c r="A20" s="329">
        <v>14</v>
      </c>
      <c r="B20" s="330"/>
      <c r="C20" s="1" t="s">
        <v>400</v>
      </c>
      <c r="D20" s="1">
        <v>358.2</v>
      </c>
      <c r="E20" s="1"/>
      <c r="O20" s="119"/>
      <c r="P20" s="119"/>
      <c r="Q20" s="119"/>
      <c r="R20" s="119"/>
      <c r="S20" s="119"/>
    </row>
    <row r="21" spans="1:19">
      <c r="A21" s="329">
        <v>14</v>
      </c>
      <c r="B21" s="330"/>
      <c r="C21" s="1" t="s">
        <v>401</v>
      </c>
      <c r="D21" s="1">
        <v>367.2</v>
      </c>
      <c r="E21" s="1"/>
      <c r="O21" s="119"/>
      <c r="P21" s="119"/>
      <c r="Q21" s="119"/>
      <c r="R21" s="119"/>
      <c r="S21" s="119"/>
    </row>
    <row r="22" spans="1:19" ht="15.75">
      <c r="A22" s="1"/>
      <c r="B22" s="1"/>
      <c r="C22" s="1"/>
      <c r="D22" s="1"/>
      <c r="E22" s="1"/>
      <c r="O22" s="119" t="s">
        <v>368</v>
      </c>
      <c r="P22" s="119" t="s">
        <v>79</v>
      </c>
      <c r="Q22" s="119" t="s">
        <v>355</v>
      </c>
      <c r="R22" s="119" t="s">
        <v>358</v>
      </c>
      <c r="S22" s="136">
        <f t="shared" si="0"/>
        <v>500.88</v>
      </c>
    </row>
    <row r="23" spans="1:19" ht="15.75">
      <c r="A23" s="331" t="s">
        <v>480</v>
      </c>
      <c r="B23" s="1"/>
      <c r="C23" s="1"/>
      <c r="D23" s="1"/>
      <c r="E23" s="1"/>
      <c r="O23" s="119"/>
      <c r="P23" s="119"/>
      <c r="Q23" s="119"/>
      <c r="R23" s="119"/>
      <c r="S23" s="136"/>
    </row>
    <row r="24" spans="1:19">
      <c r="A24" s="329">
        <v>4</v>
      </c>
      <c r="B24" s="330"/>
      <c r="C24" s="332" t="s">
        <v>453</v>
      </c>
      <c r="D24" s="333">
        <v>500.88</v>
      </c>
      <c r="E24" s="1"/>
      <c r="O24" s="119"/>
      <c r="P24" s="119"/>
      <c r="Q24" s="119"/>
      <c r="R24" s="119"/>
      <c r="S24" s="119"/>
    </row>
    <row r="25" spans="1:19" ht="15.75">
      <c r="A25" s="329">
        <v>5</v>
      </c>
      <c r="B25" s="330"/>
      <c r="C25" s="332" t="s">
        <v>454</v>
      </c>
      <c r="D25" s="333">
        <v>501.71</v>
      </c>
      <c r="E25" s="1"/>
      <c r="O25" s="119" t="s">
        <v>367</v>
      </c>
      <c r="P25" s="119" t="s">
        <v>80</v>
      </c>
      <c r="Q25" s="119" t="s">
        <v>352</v>
      </c>
      <c r="R25" s="119" t="s">
        <v>358</v>
      </c>
      <c r="S25" s="136">
        <f>SUBSTITUTE(Q25, "SF", "") + 0</f>
        <v>726.06</v>
      </c>
    </row>
    <row r="26" spans="1:19" ht="15.75">
      <c r="A26" s="329">
        <v>5</v>
      </c>
      <c r="B26" s="330"/>
      <c r="C26" s="332" t="s">
        <v>455</v>
      </c>
      <c r="D26" s="333">
        <v>500.88</v>
      </c>
      <c r="E26" s="1"/>
      <c r="O26" s="119" t="s">
        <v>366</v>
      </c>
      <c r="P26" s="119" t="s">
        <v>79</v>
      </c>
      <c r="Q26" s="119" t="s">
        <v>355</v>
      </c>
      <c r="R26" s="119" t="s">
        <v>358</v>
      </c>
      <c r="S26" s="136">
        <f>SUBSTITUTE(Q26, "SF", "") + 0</f>
        <v>500.88</v>
      </c>
    </row>
    <row r="27" spans="1:19" ht="15.75">
      <c r="A27" s="329">
        <v>6</v>
      </c>
      <c r="B27" s="330"/>
      <c r="C27" s="332" t="s">
        <v>456</v>
      </c>
      <c r="D27" s="333">
        <v>501.71</v>
      </c>
      <c r="E27" s="1"/>
      <c r="O27" s="119"/>
      <c r="P27" s="119"/>
      <c r="Q27" s="119"/>
      <c r="R27" s="119"/>
      <c r="S27" s="136"/>
    </row>
    <row r="28" spans="1:19">
      <c r="A28" s="329">
        <v>7</v>
      </c>
      <c r="B28" s="330"/>
      <c r="C28" s="332" t="s">
        <v>457</v>
      </c>
      <c r="D28" s="333">
        <v>501.71</v>
      </c>
      <c r="E28" s="1"/>
      <c r="O28" s="119"/>
      <c r="P28" s="119"/>
      <c r="Q28" s="119"/>
      <c r="R28" s="119"/>
      <c r="S28" s="119"/>
    </row>
    <row r="29" spans="1:19">
      <c r="A29" s="329">
        <v>8</v>
      </c>
      <c r="B29" s="330"/>
      <c r="C29" s="332" t="s">
        <v>313</v>
      </c>
      <c r="D29" s="333">
        <v>501.71</v>
      </c>
      <c r="E29" s="1"/>
      <c r="O29" s="119"/>
      <c r="P29" s="119"/>
      <c r="Q29" s="119"/>
      <c r="R29" s="119"/>
      <c r="S29" s="119"/>
    </row>
    <row r="30" spans="1:19" ht="15.75">
      <c r="A30" s="329">
        <v>9</v>
      </c>
      <c r="B30" s="330"/>
      <c r="C30" s="332" t="s">
        <v>458</v>
      </c>
      <c r="D30" s="333">
        <v>500.88</v>
      </c>
      <c r="E30" s="1"/>
      <c r="O30" s="119" t="s">
        <v>365</v>
      </c>
      <c r="P30" s="119" t="s">
        <v>79</v>
      </c>
      <c r="Q30" s="119" t="s">
        <v>354</v>
      </c>
      <c r="R30" s="119" t="s">
        <v>358</v>
      </c>
      <c r="S30" s="136">
        <f>SUBSTITUTE(Q30, "SF", "") + 0</f>
        <v>501.71</v>
      </c>
    </row>
    <row r="31" spans="1:19" ht="15.75">
      <c r="A31" s="329">
        <v>10</v>
      </c>
      <c r="B31" s="330"/>
      <c r="C31" s="332" t="s">
        <v>459</v>
      </c>
      <c r="D31" s="333">
        <v>500.88</v>
      </c>
      <c r="E31" s="1"/>
      <c r="O31" s="119"/>
      <c r="P31" s="119"/>
      <c r="Q31" s="119"/>
      <c r="R31" s="119"/>
      <c r="S31" s="136"/>
    </row>
    <row r="32" spans="1:19">
      <c r="A32" s="329">
        <v>11</v>
      </c>
      <c r="B32" s="330"/>
      <c r="C32" s="332" t="s">
        <v>460</v>
      </c>
      <c r="D32" s="333">
        <v>501.24</v>
      </c>
      <c r="E32" s="1"/>
      <c r="O32" s="119"/>
      <c r="P32" s="119"/>
      <c r="Q32" s="119"/>
      <c r="R32" s="119"/>
      <c r="S32" s="119"/>
    </row>
    <row r="33" spans="1:19">
      <c r="E33" s="1"/>
      <c r="G33" s="338">
        <v>12</v>
      </c>
      <c r="H33" s="339"/>
      <c r="I33" s="340" t="s">
        <v>461</v>
      </c>
      <c r="J33" s="341">
        <v>532.59</v>
      </c>
      <c r="K33" s="3" t="s">
        <v>482</v>
      </c>
      <c r="O33" s="119"/>
      <c r="P33" s="119"/>
      <c r="Q33" s="119"/>
      <c r="R33" s="119"/>
      <c r="S33" s="119"/>
    </row>
    <row r="34" spans="1:19" ht="15.75">
      <c r="A34" s="329">
        <v>13</v>
      </c>
      <c r="B34" s="330"/>
      <c r="C34" s="332" t="s">
        <v>462</v>
      </c>
      <c r="D34" s="333">
        <v>532.59</v>
      </c>
      <c r="E34" s="1"/>
      <c r="O34" s="119" t="s">
        <v>364</v>
      </c>
      <c r="P34" s="119" t="s">
        <v>79</v>
      </c>
      <c r="Q34" s="119" t="s">
        <v>354</v>
      </c>
      <c r="R34" s="119" t="s">
        <v>358</v>
      </c>
      <c r="S34" s="136">
        <f t="shared" si="0"/>
        <v>501.71</v>
      </c>
    </row>
    <row r="35" spans="1:19" ht="15.75">
      <c r="A35" s="334">
        <v>2</v>
      </c>
      <c r="B35" s="335" t="s">
        <v>328</v>
      </c>
      <c r="C35" s="335" t="s">
        <v>328</v>
      </c>
      <c r="D35" s="336">
        <v>535.08000000000004</v>
      </c>
      <c r="E35" s="1"/>
      <c r="O35" s="119"/>
      <c r="P35" s="119"/>
      <c r="Q35" s="119"/>
      <c r="R35" s="119"/>
      <c r="S35" s="136"/>
    </row>
    <row r="36" spans="1:19" ht="15.75">
      <c r="A36" s="334">
        <v>3</v>
      </c>
      <c r="B36" s="335" t="s">
        <v>463</v>
      </c>
      <c r="C36" s="335" t="s">
        <v>463</v>
      </c>
      <c r="D36" s="336">
        <v>535.08000000000004</v>
      </c>
      <c r="E36" s="1"/>
      <c r="O36" s="119" t="s">
        <v>353</v>
      </c>
      <c r="P36" s="119" t="s">
        <v>80</v>
      </c>
      <c r="Q36" s="119" t="s">
        <v>352</v>
      </c>
      <c r="R36" s="137" t="s">
        <v>345</v>
      </c>
      <c r="S36" s="136">
        <f t="shared" si="0"/>
        <v>726.06</v>
      </c>
    </row>
    <row r="37" spans="1:19" ht="15.75">
      <c r="A37" s="334">
        <v>4</v>
      </c>
      <c r="B37" s="335" t="s">
        <v>464</v>
      </c>
      <c r="C37" s="335" t="s">
        <v>464</v>
      </c>
      <c r="D37" s="336">
        <v>514.96</v>
      </c>
      <c r="E37" s="1"/>
      <c r="O37" s="119" t="s">
        <v>363</v>
      </c>
      <c r="P37" s="119" t="s">
        <v>79</v>
      </c>
      <c r="Q37" s="119" t="s">
        <v>354</v>
      </c>
      <c r="R37" s="119" t="s">
        <v>358</v>
      </c>
      <c r="S37" s="136">
        <f>SUBSTITUTE(Q37, "SF", "") + 0</f>
        <v>501.71</v>
      </c>
    </row>
    <row r="38" spans="1:19">
      <c r="A38" s="334">
        <v>5</v>
      </c>
      <c r="B38" s="335" t="s">
        <v>465</v>
      </c>
      <c r="C38" s="335" t="s">
        <v>465</v>
      </c>
      <c r="D38" s="336">
        <v>514.96</v>
      </c>
      <c r="E38" s="1"/>
      <c r="O38" s="119"/>
      <c r="P38" s="119"/>
      <c r="Q38" s="119"/>
      <c r="R38" s="119"/>
      <c r="S38" s="119"/>
    </row>
    <row r="39" spans="1:19" ht="15.75">
      <c r="A39" s="334">
        <v>6</v>
      </c>
      <c r="B39" s="335" t="s">
        <v>466</v>
      </c>
      <c r="C39" s="337" t="s">
        <v>466</v>
      </c>
      <c r="D39" s="336">
        <v>516.04</v>
      </c>
      <c r="E39" s="1"/>
      <c r="O39" s="119"/>
      <c r="P39" s="119"/>
      <c r="Q39" s="119"/>
      <c r="R39" s="119"/>
      <c r="S39" s="136"/>
    </row>
    <row r="40" spans="1:19">
      <c r="A40" s="334">
        <v>7</v>
      </c>
      <c r="B40" s="335" t="s">
        <v>467</v>
      </c>
      <c r="C40" s="337" t="s">
        <v>467</v>
      </c>
      <c r="D40" s="336">
        <v>514.96</v>
      </c>
      <c r="E40" s="1"/>
    </row>
    <row r="41" spans="1:19" ht="15.75">
      <c r="A41" s="334">
        <v>8</v>
      </c>
      <c r="B41" s="335" t="s">
        <v>468</v>
      </c>
      <c r="C41" s="337" t="s">
        <v>468</v>
      </c>
      <c r="D41" s="336">
        <v>514.96</v>
      </c>
      <c r="E41" s="1"/>
      <c r="O41" s="119" t="s">
        <v>362</v>
      </c>
      <c r="P41" s="119" t="s">
        <v>81</v>
      </c>
      <c r="Q41" s="119" t="s">
        <v>360</v>
      </c>
      <c r="R41" s="119" t="s">
        <v>358</v>
      </c>
      <c r="S41" s="136">
        <f t="shared" si="0"/>
        <v>890.43</v>
      </c>
    </row>
    <row r="42" spans="1:19" ht="15.75">
      <c r="A42" s="334">
        <v>9</v>
      </c>
      <c r="B42" s="335" t="s">
        <v>469</v>
      </c>
      <c r="C42" s="337" t="s">
        <v>469</v>
      </c>
      <c r="D42" s="336">
        <v>514.96</v>
      </c>
      <c r="E42" s="1"/>
      <c r="O42" s="119" t="s">
        <v>351</v>
      </c>
      <c r="P42" s="119" t="s">
        <v>81</v>
      </c>
      <c r="Q42" s="119" t="s">
        <v>346</v>
      </c>
      <c r="R42" s="137" t="s">
        <v>345</v>
      </c>
      <c r="S42" s="136">
        <f>SUBSTITUTE(Q42, "SF", "") + 0</f>
        <v>879.64</v>
      </c>
    </row>
    <row r="43" spans="1:19">
      <c r="A43" s="334">
        <v>10</v>
      </c>
      <c r="B43" s="335" t="s">
        <v>470</v>
      </c>
      <c r="C43" s="337" t="s">
        <v>470</v>
      </c>
      <c r="D43" s="336">
        <v>514.96</v>
      </c>
      <c r="E43" s="1"/>
    </row>
    <row r="44" spans="1:19" ht="15.75">
      <c r="A44" s="334">
        <v>11</v>
      </c>
      <c r="B44" s="335" t="s">
        <v>471</v>
      </c>
      <c r="C44" s="337" t="s">
        <v>471</v>
      </c>
      <c r="D44" s="336">
        <v>514.96</v>
      </c>
      <c r="E44" s="1"/>
      <c r="O44" s="119"/>
      <c r="P44" s="119"/>
      <c r="Q44" s="119"/>
      <c r="R44" s="119"/>
      <c r="S44" s="136"/>
    </row>
    <row r="45" spans="1:19">
      <c r="A45" s="1"/>
      <c r="B45" s="1"/>
      <c r="C45" s="1"/>
      <c r="D45" s="1"/>
      <c r="E45" s="1"/>
    </row>
    <row r="46" spans="1:19" ht="15.75">
      <c r="A46" s="1"/>
      <c r="B46" s="1"/>
      <c r="C46" s="1"/>
      <c r="D46" s="1"/>
      <c r="E46" s="1"/>
      <c r="O46" s="320" t="s">
        <v>350</v>
      </c>
      <c r="P46" s="320" t="s">
        <v>80</v>
      </c>
      <c r="Q46" s="320" t="s">
        <v>347</v>
      </c>
      <c r="R46" s="320" t="s">
        <v>345</v>
      </c>
      <c r="S46" s="321">
        <f>SUBSTITUTE(Q46, "SF", "") + 0</f>
        <v>726.19</v>
      </c>
    </row>
    <row r="47" spans="1:19" ht="15.75">
      <c r="A47" s="331" t="s">
        <v>185</v>
      </c>
      <c r="B47" s="1"/>
      <c r="C47" s="1"/>
      <c r="D47" s="1"/>
      <c r="E47" s="1"/>
      <c r="O47" s="119" t="s">
        <v>349</v>
      </c>
      <c r="P47" s="119" t="s">
        <v>81</v>
      </c>
      <c r="Q47" s="119" t="s">
        <v>346</v>
      </c>
      <c r="R47" s="137" t="s">
        <v>345</v>
      </c>
      <c r="S47" s="136">
        <f t="shared" si="0"/>
        <v>879.64</v>
      </c>
    </row>
    <row r="48" spans="1:19" ht="15.75">
      <c r="A48" s="334">
        <v>9</v>
      </c>
      <c r="B48" s="335" t="s">
        <v>472</v>
      </c>
      <c r="C48" s="337" t="s">
        <v>472</v>
      </c>
      <c r="D48" s="336">
        <v>726.06</v>
      </c>
      <c r="E48" s="337"/>
      <c r="O48" s="119" t="s">
        <v>361</v>
      </c>
      <c r="P48" s="119" t="s">
        <v>81</v>
      </c>
      <c r="Q48" s="119" t="s">
        <v>360</v>
      </c>
      <c r="R48" s="119" t="s">
        <v>358</v>
      </c>
      <c r="S48" s="136">
        <f t="shared" si="0"/>
        <v>890.43</v>
      </c>
    </row>
    <row r="49" spans="1:19" ht="15.75">
      <c r="A49" s="334">
        <v>7</v>
      </c>
      <c r="B49" s="335" t="s">
        <v>473</v>
      </c>
      <c r="C49" s="337" t="s">
        <v>473</v>
      </c>
      <c r="D49" s="336">
        <v>726.06</v>
      </c>
      <c r="E49" s="337"/>
      <c r="O49" s="119"/>
      <c r="P49" s="119"/>
      <c r="Q49" s="119"/>
      <c r="R49" s="119"/>
      <c r="S49" s="136"/>
    </row>
    <row r="50" spans="1:19">
      <c r="A50" s="334">
        <v>10</v>
      </c>
      <c r="B50" s="335" t="s">
        <v>474</v>
      </c>
      <c r="C50" s="337" t="s">
        <v>474</v>
      </c>
      <c r="D50" s="336">
        <v>726.06</v>
      </c>
      <c r="E50" s="337"/>
    </row>
    <row r="51" spans="1:19" ht="15.75">
      <c r="A51" s="334">
        <v>12</v>
      </c>
      <c r="B51" s="335" t="s">
        <v>307</v>
      </c>
      <c r="C51" s="337" t="s">
        <v>307</v>
      </c>
      <c r="D51" s="336">
        <v>726.19</v>
      </c>
      <c r="E51" s="337"/>
      <c r="O51" s="119" t="s">
        <v>348</v>
      </c>
      <c r="P51" s="119" t="s">
        <v>80</v>
      </c>
      <c r="Q51" s="119" t="s">
        <v>347</v>
      </c>
      <c r="R51" s="137" t="s">
        <v>345</v>
      </c>
      <c r="S51" s="136">
        <f>SUBSTITUTE(Q51, "SF", "") + 0</f>
        <v>726.19</v>
      </c>
    </row>
    <row r="52" spans="1:19" ht="15.75">
      <c r="A52" s="1"/>
      <c r="B52" s="1"/>
      <c r="C52" s="1"/>
      <c r="D52" s="1"/>
      <c r="E52" s="1"/>
      <c r="O52" s="119" t="s">
        <v>359</v>
      </c>
      <c r="P52" s="119" t="s">
        <v>81</v>
      </c>
      <c r="Q52" s="119" t="s">
        <v>357</v>
      </c>
      <c r="R52" s="119" t="s">
        <v>358</v>
      </c>
      <c r="S52" s="136">
        <f t="shared" si="0"/>
        <v>972.77</v>
      </c>
    </row>
    <row r="53" spans="1:19">
      <c r="A53" s="1"/>
      <c r="B53" s="1"/>
      <c r="C53" s="1"/>
      <c r="D53" s="1"/>
      <c r="E53" s="1"/>
    </row>
    <row r="54" spans="1:19">
      <c r="A54" s="331" t="s">
        <v>207</v>
      </c>
      <c r="B54" s="1"/>
      <c r="C54" s="1"/>
      <c r="D54" s="1"/>
      <c r="E54" s="1"/>
    </row>
    <row r="55" spans="1:19" ht="19.5">
      <c r="A55" s="334">
        <v>13</v>
      </c>
      <c r="B55" s="335" t="s">
        <v>475</v>
      </c>
      <c r="C55" s="337" t="s">
        <v>475</v>
      </c>
      <c r="D55" s="336">
        <v>886.86</v>
      </c>
      <c r="E55" s="1"/>
      <c r="Q55" s="135"/>
    </row>
    <row r="56" spans="1:19">
      <c r="A56" s="334">
        <v>14</v>
      </c>
      <c r="B56" s="335" t="s">
        <v>476</v>
      </c>
      <c r="C56" s="337" t="s">
        <v>476</v>
      </c>
      <c r="D56" s="336">
        <v>883.71</v>
      </c>
      <c r="E56" s="1"/>
      <c r="R56" s="126" t="s">
        <v>377</v>
      </c>
      <c r="S56">
        <f>SUM(S4:S53)</f>
        <v>12824.270000000002</v>
      </c>
    </row>
    <row r="57" spans="1:19">
      <c r="A57" s="334">
        <v>12</v>
      </c>
      <c r="B57" s="335" t="s">
        <v>477</v>
      </c>
      <c r="C57" s="337" t="s">
        <v>477</v>
      </c>
      <c r="D57" s="336">
        <v>886.86</v>
      </c>
      <c r="E57" s="1"/>
      <c r="R57" s="126" t="s">
        <v>378</v>
      </c>
      <c r="S57">
        <v>12560</v>
      </c>
    </row>
    <row r="58" spans="1:19">
      <c r="A58" s="334">
        <v>14</v>
      </c>
      <c r="B58" s="335" t="s">
        <v>305</v>
      </c>
      <c r="C58" s="337" t="s">
        <v>305</v>
      </c>
      <c r="D58" s="336">
        <v>908.02</v>
      </c>
      <c r="E58" s="1"/>
      <c r="R58" s="138" t="s">
        <v>379</v>
      </c>
      <c r="S58">
        <f>S57-S56</f>
        <v>-264.27000000000226</v>
      </c>
    </row>
    <row r="59" spans="1:19">
      <c r="A59" s="334">
        <v>14</v>
      </c>
      <c r="B59" s="335" t="s">
        <v>478</v>
      </c>
      <c r="C59" s="337" t="s">
        <v>478</v>
      </c>
      <c r="D59" s="336">
        <v>879.64</v>
      </c>
      <c r="E59" s="1"/>
    </row>
    <row r="61" spans="1:19">
      <c r="A61" s="3" t="s">
        <v>481</v>
      </c>
      <c r="D61">
        <f>SUM(D3:D59)</f>
        <v>24479.229999999992</v>
      </c>
    </row>
    <row r="62" spans="1:19">
      <c r="A62" s="344">
        <v>6</v>
      </c>
      <c r="B62" s="322">
        <v>6</v>
      </c>
      <c r="C62" s="325" t="s">
        <v>593</v>
      </c>
      <c r="D62" s="327">
        <v>1</v>
      </c>
      <c r="E62" s="324">
        <v>500.88</v>
      </c>
      <c r="F62" s="345">
        <v>40</v>
      </c>
    </row>
    <row r="63" spans="1:19">
      <c r="A63" s="344">
        <v>8</v>
      </c>
      <c r="B63" s="322">
        <v>8</v>
      </c>
      <c r="C63" s="323" t="s">
        <v>590</v>
      </c>
      <c r="D63" s="326">
        <v>1</v>
      </c>
      <c r="E63" s="324">
        <v>500.88</v>
      </c>
      <c r="F63" s="345">
        <v>60</v>
      </c>
    </row>
    <row r="64" spans="1:19">
      <c r="A64" s="346">
        <v>11</v>
      </c>
      <c r="B64" s="322">
        <v>11</v>
      </c>
      <c r="C64" s="323" t="s">
        <v>591</v>
      </c>
      <c r="D64" s="326">
        <v>1</v>
      </c>
      <c r="E64" s="324">
        <v>501.71</v>
      </c>
      <c r="F64" s="345">
        <v>60</v>
      </c>
    </row>
    <row r="65" spans="1:6">
      <c r="A65" s="346">
        <v>13</v>
      </c>
      <c r="B65" s="322">
        <v>13</v>
      </c>
      <c r="C65" s="323" t="s">
        <v>592</v>
      </c>
      <c r="D65" s="326">
        <v>3</v>
      </c>
      <c r="E65" s="328">
        <v>890.43</v>
      </c>
      <c r="F65" s="347">
        <v>60</v>
      </c>
    </row>
    <row r="68" spans="1:6">
      <c r="A68" s="344">
        <v>11</v>
      </c>
      <c r="B68" s="322">
        <v>11</v>
      </c>
      <c r="C68" s="325" t="s">
        <v>595</v>
      </c>
      <c r="D68" s="327">
        <v>2</v>
      </c>
      <c r="E68" s="324">
        <v>726.06</v>
      </c>
      <c r="F68" s="345">
        <v>60</v>
      </c>
    </row>
    <row r="71" spans="1:6">
      <c r="E71">
        <f>SUM(E62:E68)</f>
        <v>3119.96</v>
      </c>
    </row>
    <row r="72" spans="1:6" ht="45">
      <c r="D72" s="348" t="s">
        <v>594</v>
      </c>
      <c r="E72">
        <f>E71+D61</f>
        <v>27599.189999999991</v>
      </c>
    </row>
  </sheetData>
  <conditionalFormatting sqref="E48:E51">
    <cfRule type="cellIs" dxfId="6" priority="11" operator="greaterThan">
      <formula>135</formula>
    </cfRule>
    <cfRule type="cellIs" dxfId="5" priority="12" operator="greaterThan">
      <formula>1120</formula>
    </cfRule>
  </conditionalFormatting>
  <conditionalFormatting sqref="E50:E51">
    <cfRule type="cellIs" dxfId="4" priority="13" operator="greaterThan">
      <formula>130</formula>
    </cfRule>
  </conditionalFormatting>
  <conditionalFormatting sqref="F62:F65">
    <cfRule type="cellIs" dxfId="3" priority="3" operator="greaterThan">
      <formula>135</formula>
    </cfRule>
    <cfRule type="cellIs" dxfId="2" priority="4" operator="greaterThan">
      <formula>1120</formula>
    </cfRule>
  </conditionalFormatting>
  <conditionalFormatting sqref="F68">
    <cfRule type="cellIs" dxfId="1" priority="1" operator="greaterThan">
      <formula>135</formula>
    </cfRule>
    <cfRule type="cellIs" dxfId="0" priority="2" operator="greaterThan">
      <formula>1120</formula>
    </cfRule>
  </conditionalFormatting>
  <dataValidations count="1">
    <dataValidation showInputMessage="1" showErrorMessage="1" sqref="C39:C44 C48:C51 C55:C59 D68 D62:D65" xr:uid="{72F5AF10-7BA9-4769-AACB-321090F30DE7}"/>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9690C-7CAA-461A-9155-0648D4D357A4}">
  <dimension ref="B2:M25"/>
  <sheetViews>
    <sheetView zoomScaleNormal="100" workbookViewId="0">
      <selection activeCell="N13" sqref="N13"/>
    </sheetView>
  </sheetViews>
  <sheetFormatPr defaultColWidth="9.140625" defaultRowHeight="15"/>
  <cols>
    <col min="1" max="1" width="5.5703125" style="4" customWidth="1"/>
    <col min="2" max="2" width="12.5703125" style="4" customWidth="1"/>
    <col min="3" max="3" width="5.5703125" style="4" customWidth="1"/>
    <col min="4" max="4" width="12.5703125" style="4" customWidth="1"/>
    <col min="5" max="5" width="5.5703125" style="4" customWidth="1"/>
    <col min="6" max="6" width="12.5703125" style="4" customWidth="1"/>
    <col min="7" max="7" width="9.140625" style="4"/>
    <col min="8" max="8" width="10" style="4" customWidth="1"/>
    <col min="9" max="16384" width="9.140625" style="4"/>
  </cols>
  <sheetData>
    <row r="2" spans="2:13">
      <c r="B2" s="8" t="s">
        <v>171</v>
      </c>
      <c r="C2" s="5"/>
      <c r="D2" s="5"/>
      <c r="E2" s="5"/>
      <c r="F2" s="5"/>
      <c r="G2" s="5"/>
      <c r="H2" s="5"/>
      <c r="I2" s="5"/>
      <c r="J2" s="5"/>
      <c r="K2" s="5" t="s">
        <v>170</v>
      </c>
      <c r="L2" s="5"/>
      <c r="M2" s="5"/>
    </row>
    <row r="3" spans="2:13" ht="15.2" customHeight="1">
      <c r="B3" s="5"/>
      <c r="C3" s="5"/>
      <c r="D3" s="5"/>
      <c r="E3" s="5"/>
      <c r="F3" s="5"/>
      <c r="G3" s="5"/>
      <c r="H3" s="5"/>
      <c r="I3" s="5"/>
      <c r="J3" s="5"/>
      <c r="K3" s="5" t="s">
        <v>169</v>
      </c>
      <c r="L3" s="5" t="s">
        <v>168</v>
      </c>
      <c r="M3" s="5"/>
    </row>
    <row r="4" spans="2:13" ht="15.2" customHeight="1">
      <c r="B4" s="398" t="str">
        <f>_xlfn.TEXTJOIN(" + ",TRUE,K4:K16)</f>
        <v>23.48 + 23.44 + 23.74 + 23.88 + 23.84 + 23.74</v>
      </c>
      <c r="C4" s="398"/>
      <c r="D4" s="398"/>
      <c r="E4" s="398"/>
      <c r="F4" s="411" t="s">
        <v>158</v>
      </c>
      <c r="G4" s="414">
        <f>AVERAGE(K4:K14)</f>
        <v>23.686666666666667</v>
      </c>
      <c r="H4" s="403" t="s">
        <v>166</v>
      </c>
      <c r="I4" s="5"/>
      <c r="J4" s="5"/>
      <c r="K4" s="5">
        <v>23.48</v>
      </c>
      <c r="L4" s="5">
        <v>17.63</v>
      </c>
      <c r="M4" s="5"/>
    </row>
    <row r="5" spans="2:13" ht="15.2" customHeight="1">
      <c r="B5" s="399"/>
      <c r="C5" s="399"/>
      <c r="D5" s="399"/>
      <c r="E5" s="399"/>
      <c r="F5" s="411"/>
      <c r="G5" s="414"/>
      <c r="H5" s="403"/>
      <c r="I5" s="5"/>
      <c r="J5" s="5"/>
      <c r="K5" s="5">
        <v>23.44</v>
      </c>
      <c r="L5" s="5">
        <v>17.53</v>
      </c>
      <c r="M5" s="5"/>
    </row>
    <row r="6" spans="2:13" ht="15.2" customHeight="1">
      <c r="B6" s="412">
        <f>COUNT(K4:K14)</f>
        <v>6</v>
      </c>
      <c r="C6" s="412"/>
      <c r="D6" s="412"/>
      <c r="E6" s="412"/>
      <c r="F6" s="13"/>
      <c r="G6" s="5"/>
      <c r="H6" s="5"/>
      <c r="I6" s="5"/>
      <c r="J6" s="5"/>
      <c r="K6" s="5">
        <v>23.74</v>
      </c>
      <c r="L6" s="5">
        <v>17.53</v>
      </c>
      <c r="M6" s="5"/>
    </row>
    <row r="7" spans="2:13">
      <c r="B7" s="5"/>
      <c r="C7" s="5"/>
      <c r="D7" s="5"/>
      <c r="E7" s="5"/>
      <c r="F7" s="5"/>
      <c r="G7" s="5"/>
      <c r="H7" s="5"/>
      <c r="I7" s="5"/>
      <c r="J7" s="5"/>
      <c r="K7" s="5">
        <v>23.88</v>
      </c>
      <c r="L7" s="5">
        <v>17.170000000000002</v>
      </c>
      <c r="M7" s="5"/>
    </row>
    <row r="8" spans="2:13">
      <c r="B8" s="8" t="s">
        <v>167</v>
      </c>
      <c r="C8" s="5"/>
      <c r="D8" s="5"/>
      <c r="E8" s="5"/>
      <c r="F8" s="5"/>
      <c r="G8" s="5"/>
      <c r="H8" s="5"/>
      <c r="I8" s="5"/>
      <c r="J8" s="5"/>
      <c r="K8" s="5">
        <v>23.84</v>
      </c>
      <c r="L8" s="5">
        <v>17.059999999999999</v>
      </c>
      <c r="M8" s="5"/>
    </row>
    <row r="9" spans="2:13">
      <c r="B9" s="5"/>
      <c r="C9" s="5"/>
      <c r="D9" s="5"/>
      <c r="E9" s="5"/>
      <c r="F9" s="5"/>
      <c r="G9" s="5"/>
      <c r="H9" s="5"/>
      <c r="I9" s="5"/>
      <c r="J9" s="5"/>
      <c r="K9" s="5">
        <v>23.74</v>
      </c>
      <c r="L9" s="5">
        <v>17.010000000000002</v>
      </c>
      <c r="M9" s="5"/>
    </row>
    <row r="10" spans="2:13" ht="15.2" customHeight="1">
      <c r="B10" s="398" t="str">
        <f>_xlfn.TEXTJOIN(" + ",TRUE,L4:L16)</f>
        <v>17.63 + 17.53 + 17.53 + 17.17 + 17.06 + 17.01</v>
      </c>
      <c r="C10" s="398"/>
      <c r="D10" s="398"/>
      <c r="E10" s="398"/>
      <c r="F10" s="411" t="s">
        <v>158</v>
      </c>
      <c r="G10" s="414">
        <f>AVERAGE(L4:L16)</f>
        <v>17.321666666666669</v>
      </c>
      <c r="H10" s="403" t="s">
        <v>166</v>
      </c>
      <c r="I10" s="5"/>
      <c r="J10" s="5"/>
      <c r="K10" s="5"/>
      <c r="L10" s="5"/>
      <c r="M10" s="5"/>
    </row>
    <row r="11" spans="2:13" ht="15.2" customHeight="1">
      <c r="B11" s="399"/>
      <c r="C11" s="399"/>
      <c r="D11" s="399"/>
      <c r="E11" s="399"/>
      <c r="F11" s="411"/>
      <c r="G11" s="414"/>
      <c r="H11" s="403"/>
      <c r="I11" s="5"/>
      <c r="J11" s="5"/>
      <c r="K11" s="5"/>
      <c r="L11" s="5"/>
      <c r="M11" s="5"/>
    </row>
    <row r="12" spans="2:13" ht="15.2" customHeight="1">
      <c r="B12" s="401">
        <f>COUNT(L4:L16)</f>
        <v>6</v>
      </c>
      <c r="C12" s="401"/>
      <c r="D12" s="401"/>
      <c r="E12" s="401"/>
      <c r="F12" s="13"/>
      <c r="G12" s="5"/>
      <c r="H12" s="5"/>
      <c r="I12" s="5"/>
      <c r="J12" s="5"/>
      <c r="K12" s="5"/>
      <c r="L12" s="5"/>
      <c r="M12" s="5"/>
    </row>
    <row r="13" spans="2:13">
      <c r="B13" s="5"/>
      <c r="C13" s="5"/>
      <c r="D13" s="5"/>
      <c r="E13" s="5"/>
      <c r="F13" s="5"/>
      <c r="G13" s="5"/>
      <c r="H13" s="5"/>
      <c r="I13" s="5"/>
      <c r="J13" s="5"/>
      <c r="K13" s="5"/>
      <c r="L13" s="5"/>
      <c r="M13" s="5"/>
    </row>
    <row r="14" spans="2:13">
      <c r="B14" s="8" t="s">
        <v>11</v>
      </c>
      <c r="C14" s="5"/>
      <c r="D14" s="5"/>
      <c r="E14" s="5"/>
      <c r="F14" s="5"/>
      <c r="G14" s="12"/>
      <c r="H14" s="5"/>
      <c r="I14" s="5"/>
      <c r="J14" s="5"/>
      <c r="K14" s="5"/>
      <c r="L14" s="5"/>
      <c r="M14" s="5"/>
    </row>
    <row r="15" spans="2:13">
      <c r="B15" s="410" t="s">
        <v>165</v>
      </c>
      <c r="C15" s="410"/>
      <c r="D15" s="11" t="s">
        <v>164</v>
      </c>
      <c r="E15" s="5"/>
      <c r="F15" s="10" t="s">
        <v>163</v>
      </c>
      <c r="H15" s="5"/>
      <c r="I15" s="5"/>
      <c r="J15" s="5"/>
      <c r="K15" s="5"/>
      <c r="L15" s="5"/>
      <c r="M15" s="5"/>
    </row>
    <row r="16" spans="2:13">
      <c r="B16" s="5">
        <v>9538.89</v>
      </c>
      <c r="C16" s="5" t="s">
        <v>162</v>
      </c>
      <c r="D16" s="5">
        <v>10598.69</v>
      </c>
      <c r="E16" s="5" t="s">
        <v>162</v>
      </c>
      <c r="F16" s="9">
        <f>B16+D16</f>
        <v>20137.580000000002</v>
      </c>
      <c r="H16" s="5"/>
      <c r="I16" s="5"/>
      <c r="J16" s="5"/>
      <c r="K16" s="5"/>
      <c r="L16" s="5"/>
      <c r="M16" s="5"/>
    </row>
    <row r="17" spans="2:13">
      <c r="B17" s="5"/>
      <c r="C17" s="5"/>
      <c r="D17" s="5"/>
      <c r="E17" s="5"/>
      <c r="F17" s="5"/>
      <c r="G17" s="5"/>
      <c r="H17" s="5"/>
      <c r="I17" s="5"/>
      <c r="J17" s="5"/>
      <c r="K17" s="5"/>
      <c r="L17" s="5"/>
      <c r="M17" s="5"/>
    </row>
    <row r="18" spans="2:13">
      <c r="B18" s="8" t="s">
        <v>161</v>
      </c>
      <c r="C18" s="5"/>
      <c r="D18" s="5"/>
      <c r="E18" s="5"/>
      <c r="F18" s="5"/>
      <c r="G18" s="5"/>
      <c r="H18" s="5"/>
      <c r="I18" s="5"/>
      <c r="J18" s="5"/>
      <c r="K18" s="5"/>
      <c r="L18" s="5"/>
      <c r="M18" s="5"/>
    </row>
    <row r="19" spans="2:13">
      <c r="B19" s="7">
        <f>B16</f>
        <v>9538.89</v>
      </c>
      <c r="C19" s="413" t="s">
        <v>159</v>
      </c>
      <c r="D19" s="414">
        <f>G4</f>
        <v>23.686666666666667</v>
      </c>
      <c r="E19" s="415" t="s">
        <v>160</v>
      </c>
      <c r="F19" s="7">
        <f>D16</f>
        <v>10598.69</v>
      </c>
      <c r="G19" s="413" t="s">
        <v>159</v>
      </c>
      <c r="H19" s="414">
        <f>G10</f>
        <v>17.321666666666669</v>
      </c>
      <c r="I19" s="402" t="s">
        <v>158</v>
      </c>
      <c r="J19" s="5"/>
      <c r="K19" s="5"/>
      <c r="L19" s="5"/>
      <c r="M19" s="5"/>
    </row>
    <row r="20" spans="2:13">
      <c r="B20" s="6">
        <f>B19+F19</f>
        <v>20137.580000000002</v>
      </c>
      <c r="C20" s="413"/>
      <c r="D20" s="414"/>
      <c r="E20" s="415"/>
      <c r="F20" s="6">
        <f>B19+F19</f>
        <v>20137.580000000002</v>
      </c>
      <c r="G20" s="413"/>
      <c r="H20" s="414"/>
      <c r="I20" s="403"/>
      <c r="J20" s="5"/>
      <c r="K20" s="5"/>
      <c r="L20" s="5"/>
      <c r="M20" s="5"/>
    </row>
    <row r="21" spans="2:13" ht="15.75" thickBot="1">
      <c r="B21" s="5"/>
      <c r="C21" s="5"/>
      <c r="D21" s="5"/>
      <c r="E21" s="5"/>
      <c r="F21" s="5"/>
      <c r="G21" s="5"/>
      <c r="H21" s="5"/>
      <c r="I21" s="5"/>
      <c r="J21" s="5"/>
      <c r="K21" s="5"/>
      <c r="L21" s="5"/>
      <c r="M21" s="5"/>
    </row>
    <row r="22" spans="2:13">
      <c r="B22" s="5"/>
      <c r="C22" s="5"/>
      <c r="D22" s="404">
        <f>(B19/B20)*D19+(F19/F20)*H19</f>
        <v>20.336678145205795</v>
      </c>
      <c r="E22" s="405"/>
      <c r="F22" s="406"/>
      <c r="G22" s="5"/>
      <c r="H22" s="5"/>
      <c r="I22" s="5"/>
      <c r="J22" s="5"/>
      <c r="K22" s="5"/>
      <c r="L22" s="5"/>
      <c r="M22" s="5"/>
    </row>
    <row r="23" spans="2:13" ht="15.75" thickBot="1">
      <c r="B23" s="5"/>
      <c r="C23" s="5"/>
      <c r="D23" s="407"/>
      <c r="E23" s="408"/>
      <c r="F23" s="409"/>
      <c r="G23" s="5"/>
      <c r="H23" s="5"/>
      <c r="I23" s="5"/>
      <c r="J23" s="5"/>
      <c r="K23" s="5"/>
      <c r="L23" s="5"/>
      <c r="M23" s="5"/>
    </row>
    <row r="25" spans="2:13">
      <c r="H25" s="400">
        <f>D22-17</f>
        <v>3.336678145205795</v>
      </c>
      <c r="I25" s="400"/>
    </row>
  </sheetData>
  <mergeCells count="19">
    <mergeCell ref="D19:D20"/>
    <mergeCell ref="B10:E11"/>
    <mergeCell ref="F10:F11"/>
    <mergeCell ref="B4:E5"/>
    <mergeCell ref="H25:I25"/>
    <mergeCell ref="B12:E12"/>
    <mergeCell ref="I19:I20"/>
    <mergeCell ref="D22:F23"/>
    <mergeCell ref="B15:C15"/>
    <mergeCell ref="F4:F5"/>
    <mergeCell ref="B6:E6"/>
    <mergeCell ref="G19:G20"/>
    <mergeCell ref="H19:H20"/>
    <mergeCell ref="E19:E20"/>
    <mergeCell ref="G4:G5"/>
    <mergeCell ref="H4:H5"/>
    <mergeCell ref="G10:G11"/>
    <mergeCell ref="H10:H11"/>
    <mergeCell ref="C19:C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R8A-UG2-Special District</vt:lpstr>
      <vt:lpstr>Area Tabulation (A) </vt:lpstr>
      <vt:lpstr>UNIT DISTRIBUTION</vt:lpstr>
      <vt:lpstr>UGIIIA NET AREAS</vt:lpstr>
      <vt:lpstr>MIH RECALIBRATION STUDIES 11-1</vt:lpstr>
      <vt:lpstr>Base Plane Calculation</vt:lpstr>
      <vt:lpstr>'Area Tabulation (A) '!Print_Area</vt:lpstr>
      <vt:lpstr>'Base Plane Calculation'!Print_Area</vt:lpstr>
      <vt:lpstr>'R8A-UG2-Special District'!Print_Area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Tony Shitemi;Nic Person</dc:creator>
  <cp:keywords/>
  <dc:description/>
  <cp:lastModifiedBy>Nicolas Person</cp:lastModifiedBy>
  <cp:revision/>
  <cp:lastPrinted>2024-11-05T15:22:04Z</cp:lastPrinted>
  <dcterms:created xsi:type="dcterms:W3CDTF">2006-09-16T00:00:00Z</dcterms:created>
  <dcterms:modified xsi:type="dcterms:W3CDTF">2024-11-05T16:01:38Z</dcterms:modified>
  <cp:category/>
  <cp:contentStatus/>
</cp:coreProperties>
</file>